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6. TRIBUTANDO COM A JOY\Produtos\OFICINA DE CÁLCULO IBS E CBS NA PRÁTICA\Materiais\"/>
    </mc:Choice>
  </mc:AlternateContent>
  <xr:revisionPtr revIDLastSave="0" documentId="13_ncr:1_{675FB2B9-6BFF-4D7F-9AE5-090A6F38A17B}" xr6:coauthVersionLast="46" xr6:coauthVersionMax="46" xr10:uidLastSave="{00000000-0000-0000-0000-000000000000}"/>
  <bookViews>
    <workbookView xWindow="-108" yWindow="-108" windowWidth="23256" windowHeight="12576" xr2:uid="{427F2F4C-4E37-4853-8A38-B7F2E9F40095}"/>
  </bookViews>
  <sheets>
    <sheet name="Preço_Margem (por fora)" sheetId="4" r:id="rId1"/>
    <sheet name="Preço_Margem (por dentro)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4" l="1"/>
  <c r="D13" i="1"/>
  <c r="H13" i="4" l="1"/>
  <c r="W17" i="4"/>
  <c r="S17" i="4"/>
  <c r="O17" i="4"/>
  <c r="K17" i="4"/>
  <c r="W16" i="4"/>
  <c r="S16" i="4"/>
  <c r="O16" i="4"/>
  <c r="K16" i="4"/>
  <c r="D16" i="4"/>
  <c r="D17" i="4" s="1"/>
  <c r="D18" i="4" s="1"/>
  <c r="H15" i="4"/>
  <c r="H17" i="4" s="1"/>
  <c r="AB13" i="4"/>
  <c r="X13" i="4"/>
  <c r="T13" i="4"/>
  <c r="P13" i="4"/>
  <c r="L13" i="4"/>
  <c r="D13" i="4"/>
  <c r="H15" i="1"/>
  <c r="H16" i="4" l="1"/>
  <c r="H18" i="4"/>
  <c r="H21" i="4" s="1"/>
  <c r="L15" i="4"/>
  <c r="L15" i="1"/>
  <c r="X13" i="1"/>
  <c r="W17" i="1"/>
  <c r="W16" i="1"/>
  <c r="S17" i="1"/>
  <c r="S16" i="1"/>
  <c r="O17" i="1"/>
  <c r="O16" i="1"/>
  <c r="K16" i="1"/>
  <c r="K17" i="1"/>
  <c r="L17" i="4" l="1"/>
  <c r="L16" i="4"/>
  <c r="L18" i="4"/>
  <c r="L19" i="4"/>
  <c r="P15" i="4"/>
  <c r="AB13" i="1"/>
  <c r="T13" i="1"/>
  <c r="L17" i="1"/>
  <c r="H17" i="1"/>
  <c r="P13" i="1"/>
  <c r="L18" i="1"/>
  <c r="L13" i="1"/>
  <c r="P15" i="1"/>
  <c r="P17" i="1" s="1"/>
  <c r="L16" i="1"/>
  <c r="P18" i="4" l="1"/>
  <c r="P17" i="4"/>
  <c r="P16" i="4"/>
  <c r="T15" i="4"/>
  <c r="L21" i="4"/>
  <c r="P18" i="1"/>
  <c r="L19" i="1"/>
  <c r="P16" i="1"/>
  <c r="P19" i="1" s="1"/>
  <c r="P21" i="1" s="1"/>
  <c r="T15" i="1"/>
  <c r="P19" i="4" l="1"/>
  <c r="P21" i="4" s="1"/>
  <c r="T16" i="4"/>
  <c r="T18" i="4"/>
  <c r="T17" i="4"/>
  <c r="X15" i="4"/>
  <c r="L21" i="1"/>
  <c r="T18" i="1"/>
  <c r="X15" i="1"/>
  <c r="T16" i="1"/>
  <c r="T17" i="1"/>
  <c r="T19" i="4" l="1"/>
  <c r="T21" i="4" s="1"/>
  <c r="AB15" i="4"/>
  <c r="X17" i="4"/>
  <c r="X18" i="4"/>
  <c r="X16" i="4"/>
  <c r="T19" i="1"/>
  <c r="X18" i="1"/>
  <c r="AB15" i="1"/>
  <c r="X16" i="1"/>
  <c r="X17" i="1"/>
  <c r="X19" i="4" l="1"/>
  <c r="X21" i="4"/>
  <c r="AB17" i="4"/>
  <c r="AB16" i="4"/>
  <c r="AB18" i="4" s="1"/>
  <c r="T21" i="1"/>
  <c r="X19" i="1"/>
  <c r="AB17" i="1"/>
  <c r="AB16" i="1"/>
  <c r="AB21" i="4" l="1"/>
  <c r="AB18" i="1"/>
  <c r="X21" i="1"/>
  <c r="AB21" i="1" l="1"/>
  <c r="H16" i="1" l="1"/>
  <c r="H18" i="1" s="1"/>
  <c r="D16" i="1"/>
  <c r="D17" i="1" s="1"/>
  <c r="H21" i="1" l="1"/>
  <c r="H13" i="1"/>
  <c r="D18" i="1"/>
  <c r="D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</authors>
  <commentList>
    <comment ref="D11" authorId="0" shapeId="0" xr:uid="{1EE0C346-53CE-4BDD-9D9F-F531C1EF4DFB}">
      <text>
        <r>
          <rPr>
            <b/>
            <sz val="9"/>
            <color indexed="81"/>
            <rFont val="Segoe UI"/>
            <family val="2"/>
          </rPr>
          <t>Seria 18% + 9,25% = 27,25%, mas com a exclusão do ICMS da BC do PIS e COFINS fica 25,59%
Para chegar nos 25,59 de PIS e COFINS 18% ICMS + (9,25%*(1-18%)) =25,59%</t>
        </r>
      </text>
    </comment>
    <comment ref="H11" authorId="0" shapeId="0" xr:uid="{C4DB51EE-D320-4853-B058-815C88F34300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18% ICMS</t>
        </r>
      </text>
    </comment>
    <comment ref="L11" authorId="0" shapeId="0" xr:uid="{0397A7B3-1279-4A9F-A435-286449A71D78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16,20% ICMS</t>
        </r>
      </text>
    </comment>
    <comment ref="P11" authorId="0" shapeId="0" xr:uid="{35DF9A5A-F0A7-41DF-9852-41F2FD5E8051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14,40% ICMS</t>
        </r>
      </text>
    </comment>
    <comment ref="T11" authorId="0" shapeId="0" xr:uid="{00ED3C44-CD95-4ACC-B070-655A38ED0CFB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12,60% ICMS</t>
        </r>
      </text>
    </comment>
    <comment ref="X11" authorId="0" shapeId="0" xr:uid="{22A71FB4-7295-476D-9DE5-2A92B3AB6DAC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10,80% ICMS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</authors>
  <commentList>
    <comment ref="D11" authorId="0" shapeId="0" xr:uid="{5A17AFDA-132F-4748-8167-09BF2351E527}">
      <text>
        <r>
          <rPr>
            <b/>
            <sz val="9"/>
            <color indexed="81"/>
            <rFont val="Segoe UI"/>
            <family val="2"/>
          </rPr>
          <t>Seria 18% + 9,25% = 27,25%, mas com a exclusão do ICMS da BC do PIS e COFINS fica 25,59%
Para chegar nos 25,59 de PIS e COFINS 18% ICMS + (9,25%*(1-18%)) =25,59%</t>
        </r>
      </text>
    </comment>
    <comment ref="H11" authorId="0" shapeId="0" xr:uid="{73E5D410-952B-40B7-BD06-B73E197037C3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10% CBS + 18% ICMS</t>
        </r>
      </text>
    </comment>
    <comment ref="L11" authorId="0" shapeId="0" xr:uid="{380B89D8-9899-4DF4-97A2-CFAE9096450C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16,20% ICMS + 1,80% IBS + 10% CBS</t>
        </r>
      </text>
    </comment>
    <comment ref="P11" authorId="0" shapeId="0" xr:uid="{57AD7CD1-3BC3-4338-90A3-D24378BE17AE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14,40% ICMS + 3,60% IBS + 10% CBS</t>
        </r>
      </text>
    </comment>
    <comment ref="T11" authorId="0" shapeId="0" xr:uid="{B57D78F9-743D-4311-9E5E-63404D7F34C1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12,60% ICMS + 5,40% IBS + 10% CBS</t>
        </r>
      </text>
    </comment>
    <comment ref="X11" authorId="0" shapeId="0" xr:uid="{2CB41C64-141A-4041-A540-CD3F112F8C43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10,80% ICMS + 7,20% IBS + 10% CBS</t>
        </r>
      </text>
    </comment>
    <comment ref="AB11" authorId="0" shapeId="0" xr:uid="{203401EC-9CB3-4994-A9CF-80415CB6651F}">
      <text>
        <r>
          <rPr>
            <b/>
            <sz val="9"/>
            <color indexed="81"/>
            <rFont val="Segoe UI"/>
            <family val="2"/>
          </rPr>
          <t>Joyce Rocha:</t>
        </r>
        <r>
          <rPr>
            <sz val="9"/>
            <color indexed="81"/>
            <rFont val="Segoe UI"/>
            <family val="2"/>
          </rPr>
          <t xml:space="preserve">
10% CBS + 18% IBS</t>
        </r>
      </text>
    </comment>
  </commentList>
</comments>
</file>

<file path=xl/sharedStrings.xml><?xml version="1.0" encoding="utf-8"?>
<sst xmlns="http://schemas.openxmlformats.org/spreadsheetml/2006/main" count="182" uniqueCount="35">
  <si>
    <t>Desp. Fixas</t>
  </si>
  <si>
    <t>Desp. Variáveis (Tributos)</t>
  </si>
  <si>
    <t>Margem de Lucro</t>
  </si>
  <si>
    <t>MARKUP</t>
  </si>
  <si>
    <t>MARKUP = 1/(1 - (% Desp. Fixas + % Desp. Variáveis Tributos + % Margem de Lucro))</t>
  </si>
  <si>
    <t>Preço de Compra</t>
  </si>
  <si>
    <t>(=) Custo</t>
  </si>
  <si>
    <t>(-) ICMS</t>
  </si>
  <si>
    <t>(-) PIS/COFINS</t>
  </si>
  <si>
    <t>ANO 2025/2026</t>
  </si>
  <si>
    <t>ANO 2027/2028</t>
  </si>
  <si>
    <t>(-) CBS</t>
  </si>
  <si>
    <t>(-) CBS + 0,10% IBS</t>
  </si>
  <si>
    <t>ANO 2029</t>
  </si>
  <si>
    <t>Receita Bruta (Preço de Venda)</t>
  </si>
  <si>
    <t xml:space="preserve">(-) IBS </t>
  </si>
  <si>
    <t>(-) ICMS (prop. 90%)</t>
  </si>
  <si>
    <t>(-) IBS (prop. 10%)</t>
  </si>
  <si>
    <t>Fornecedor: Atacadista - SP - Não Optante Pelo SN</t>
  </si>
  <si>
    <t>Cliente: Varejista - SP - Não Optante pelo SN - Revenda</t>
  </si>
  <si>
    <t>ANO 2030</t>
  </si>
  <si>
    <t>(-) ICMS (prop. 80%)</t>
  </si>
  <si>
    <t>(-) IBS (prop. 20%)</t>
  </si>
  <si>
    <t>ANO 2031</t>
  </si>
  <si>
    <t>(-) ICMS (prop. 70%)</t>
  </si>
  <si>
    <t>(-) IBS (prop. 30%)</t>
  </si>
  <si>
    <t>ANO 2032</t>
  </si>
  <si>
    <t>(-) ICMS (prop. 60%)</t>
  </si>
  <si>
    <t>(-) IBS (prop. 40%)</t>
  </si>
  <si>
    <t>ANO 2033</t>
  </si>
  <si>
    <t>FORMAÇÃO DE PREÇO - MARGEM DE LUCRO</t>
  </si>
  <si>
    <t>Mantendo tributos por dentro da formação do preço, ainda que IBS e CBS seja calculado por fora</t>
  </si>
  <si>
    <t>Tirando os tributos de dentro do preço já que IBS e CBS é calculado por fora e PIS/COFINS/ICMS serão reduzidos</t>
  </si>
  <si>
    <t>(+) IBS/CBS</t>
  </si>
  <si>
    <t>(=) Total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</si>
</sst>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Segoe UI"/>
      <family val="2"/>
    </font>
    <font>
      <b/>
      <sz val="16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sz val="36"/>
      <color theme="0"/>
      <name val="Calibri"/>
      <family val="2"/>
      <scheme val="minor"/>
    </font>
    <font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b/>
      <i/>
      <sz val="11"/>
      <color theme="8" tint="0.5999938962981048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339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 style="medium">
        <color indexed="64"/>
      </top>
      <bottom/>
      <diagonal/>
    </border>
    <border>
      <left/>
      <right style="thick">
        <color rgb="FF002060"/>
      </right>
      <top style="medium">
        <color indexed="64"/>
      </top>
      <bottom/>
      <diagonal/>
    </border>
    <border>
      <left style="thick">
        <color rgb="FF002060"/>
      </left>
      <right/>
      <top/>
      <bottom style="medium">
        <color indexed="64"/>
      </bottom>
      <diagonal/>
    </border>
    <border>
      <left/>
      <right style="thick">
        <color rgb="FF002060"/>
      </right>
      <top/>
      <bottom style="medium">
        <color indexed="64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9" fontId="0" fillId="0" borderId="0" xfId="0" applyNumberFormat="1"/>
    <xf numFmtId="43" fontId="0" fillId="0" borderId="0" xfId="1" applyFont="1"/>
    <xf numFmtId="10" fontId="0" fillId="0" borderId="0" xfId="0" applyNumberFormat="1"/>
    <xf numFmtId="10" fontId="0" fillId="0" borderId="0" xfId="2" applyNumberFormat="1" applyFont="1"/>
    <xf numFmtId="0" fontId="3" fillId="0" borderId="0" xfId="0" applyFont="1"/>
    <xf numFmtId="0" fontId="2" fillId="2" borderId="0" xfId="0" applyFont="1" applyFill="1"/>
    <xf numFmtId="43" fontId="2" fillId="2" borderId="0" xfId="1" applyFont="1" applyFill="1"/>
    <xf numFmtId="0" fontId="4" fillId="3" borderId="0" xfId="0" applyFont="1" applyFill="1"/>
    <xf numFmtId="0" fontId="7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8" xfId="0" applyFont="1" applyBorder="1"/>
    <xf numFmtId="0" fontId="7" fillId="0" borderId="9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43" fontId="4" fillId="3" borderId="0" xfId="1" applyFont="1" applyFill="1"/>
    <xf numFmtId="0" fontId="10" fillId="3" borderId="0" xfId="0" applyFont="1" applyFill="1"/>
    <xf numFmtId="0" fontId="8" fillId="2" borderId="0" xfId="0" applyFont="1" applyFill="1" applyAlignment="1">
      <alignment vertical="center"/>
    </xf>
    <xf numFmtId="0" fontId="10" fillId="0" borderId="0" xfId="0" applyFont="1"/>
    <xf numFmtId="0" fontId="11" fillId="2" borderId="0" xfId="0" applyFont="1" applyFill="1" applyAlignment="1">
      <alignment horizontal="left" vertical="center" indent="1"/>
    </xf>
    <xf numFmtId="0" fontId="3" fillId="4" borderId="0" xfId="0" applyFont="1" applyFill="1"/>
    <xf numFmtId="10" fontId="3" fillId="4" borderId="0" xfId="0" applyNumberFormat="1" applyFont="1" applyFill="1"/>
    <xf numFmtId="9" fontId="3" fillId="4" borderId="0" xfId="2" applyFont="1" applyFill="1"/>
    <xf numFmtId="10" fontId="3" fillId="4" borderId="0" xfId="2" applyNumberFormat="1" applyFont="1" applyFill="1"/>
    <xf numFmtId="0" fontId="11" fillId="5" borderId="0" xfId="0" applyFont="1" applyFill="1" applyAlignment="1">
      <alignment horizontal="left" vertical="center" indent="1"/>
    </xf>
    <xf numFmtId="0" fontId="8" fillId="5" borderId="0" xfId="0" applyFont="1" applyFill="1" applyAlignment="1">
      <alignment vertical="center"/>
    </xf>
    <xf numFmtId="0" fontId="0" fillId="3" borderId="0" xfId="0" applyFill="1"/>
    <xf numFmtId="9" fontId="0" fillId="3" borderId="0" xfId="0" applyNumberFormat="1" applyFill="1"/>
    <xf numFmtId="0" fontId="6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8" fillId="2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0" fontId="2" fillId="5" borderId="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11" xfId="0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0</xdr:row>
      <xdr:rowOff>83821</xdr:rowOff>
    </xdr:from>
    <xdr:to>
      <xdr:col>2</xdr:col>
      <xdr:colOff>335280</xdr:colOff>
      <xdr:row>3</xdr:row>
      <xdr:rowOff>31102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E7A445-CC11-4763-801C-DB7189BF0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45721"/>
          <a:ext cx="1645920" cy="457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0</xdr:row>
      <xdr:rowOff>83821</xdr:rowOff>
    </xdr:from>
    <xdr:to>
      <xdr:col>2</xdr:col>
      <xdr:colOff>335280</xdr:colOff>
      <xdr:row>3</xdr:row>
      <xdr:rowOff>31102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AA15A8-CC8B-4CF8-A33B-5BE3F3CF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83821"/>
          <a:ext cx="1645920" cy="459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A8D6-CDD0-4407-AE37-4A0F12BA1D1F}">
  <dimension ref="A1:AD23"/>
  <sheetViews>
    <sheetView showGridLines="0" tabSelected="1" zoomScale="140" zoomScaleNormal="140" workbookViewId="0">
      <selection activeCell="B4" sqref="B4:D5"/>
    </sheetView>
  </sheetViews>
  <sheetFormatPr defaultRowHeight="14.4" x14ac:dyDescent="0.3"/>
  <cols>
    <col min="1" max="1" width="0.88671875" customWidth="1"/>
    <col min="2" max="2" width="28.77734375" customWidth="1"/>
    <col min="3" max="3" width="7.5546875" customWidth="1"/>
    <col min="4" max="4" width="11.44140625" bestFit="1" customWidth="1"/>
    <col min="5" max="5" width="1.6640625" customWidth="1"/>
    <col min="6" max="6" width="27.5546875" bestFit="1" customWidth="1"/>
    <col min="8" max="8" width="11.5546875" bestFit="1" customWidth="1"/>
    <col min="9" max="9" width="1.6640625" customWidth="1"/>
    <col min="10" max="10" width="27.5546875" bestFit="1" customWidth="1"/>
    <col min="12" max="12" width="11.5546875" bestFit="1" customWidth="1"/>
    <col min="13" max="13" width="1.6640625" customWidth="1"/>
    <col min="14" max="14" width="27.5546875" bestFit="1" customWidth="1"/>
    <col min="16" max="16" width="11.5546875" bestFit="1" customWidth="1"/>
    <col min="17" max="17" width="1.6640625" customWidth="1"/>
    <col min="18" max="18" width="27.5546875" bestFit="1" customWidth="1"/>
    <col min="20" max="20" width="11.5546875" bestFit="1" customWidth="1"/>
    <col min="21" max="21" width="1.6640625" customWidth="1"/>
    <col min="22" max="22" width="27.5546875" bestFit="1" customWidth="1"/>
    <col min="24" max="24" width="11.5546875" bestFit="1" customWidth="1"/>
    <col min="25" max="25" width="1.6640625" customWidth="1"/>
    <col min="26" max="26" width="27.5546875" bestFit="1" customWidth="1"/>
    <col min="28" max="28" width="11.5546875" bestFit="1" customWidth="1"/>
  </cols>
  <sheetData>
    <row r="1" spans="1:30" ht="3.6" customHeight="1" thickBot="1" x14ac:dyDescent="0.35"/>
    <row r="2" spans="1:30" ht="25.2" customHeight="1" thickTop="1" x14ac:dyDescent="0.3">
      <c r="B2" s="10"/>
      <c r="C2" s="11"/>
      <c r="D2" s="12"/>
      <c r="F2" s="41" t="s">
        <v>30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30" ht="8.4" customHeight="1" thickBot="1" x14ac:dyDescent="0.35">
      <c r="B3" s="13"/>
      <c r="D3" s="14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30" ht="14.4" customHeight="1" x14ac:dyDescent="0.3">
      <c r="B4" s="42" t="s">
        <v>4</v>
      </c>
      <c r="C4" s="43"/>
      <c r="D4" s="44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30" ht="15" customHeight="1" thickBot="1" x14ac:dyDescent="0.35">
      <c r="B5" s="45"/>
      <c r="C5" s="46"/>
      <c r="D5" s="47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30" ht="14.4" customHeight="1" x14ac:dyDescent="0.3">
      <c r="B6" s="15" t="s">
        <v>18</v>
      </c>
      <c r="C6" s="9"/>
      <c r="D6" s="16"/>
      <c r="F6" s="29" t="s">
        <v>32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30" ht="15" customHeight="1" thickBot="1" x14ac:dyDescent="0.35">
      <c r="B7" s="17" t="s">
        <v>19</v>
      </c>
      <c r="C7" s="18"/>
      <c r="D7" s="1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30" ht="7.8" customHeight="1" thickTop="1" x14ac:dyDescent="0.3"/>
    <row r="9" spans="1:30" ht="21" x14ac:dyDescent="0.4">
      <c r="B9" s="48" t="s">
        <v>9</v>
      </c>
      <c r="C9" s="48"/>
      <c r="D9" s="48"/>
      <c r="E9" s="5"/>
      <c r="F9" s="48" t="s">
        <v>10</v>
      </c>
      <c r="G9" s="48"/>
      <c r="H9" s="48"/>
      <c r="J9" s="48" t="s">
        <v>13</v>
      </c>
      <c r="K9" s="48"/>
      <c r="L9" s="48"/>
      <c r="N9" s="48" t="s">
        <v>20</v>
      </c>
      <c r="O9" s="48"/>
      <c r="P9" s="48"/>
      <c r="R9" s="48" t="s">
        <v>23</v>
      </c>
      <c r="S9" s="48"/>
      <c r="T9" s="48"/>
      <c r="V9" s="48" t="s">
        <v>26</v>
      </c>
      <c r="W9" s="48"/>
      <c r="X9" s="48"/>
      <c r="Z9" s="48" t="s">
        <v>29</v>
      </c>
      <c r="AA9" s="48"/>
      <c r="AB9" s="48"/>
    </row>
    <row r="10" spans="1:30" x14ac:dyDescent="0.3">
      <c r="B10" t="s">
        <v>0</v>
      </c>
      <c r="D10" s="1">
        <v>0.2</v>
      </c>
      <c r="F10" t="s">
        <v>0</v>
      </c>
      <c r="H10" s="1">
        <v>0.2</v>
      </c>
      <c r="J10" t="s">
        <v>0</v>
      </c>
      <c r="L10" s="1">
        <v>0.2</v>
      </c>
      <c r="N10" t="s">
        <v>0</v>
      </c>
      <c r="P10" s="1">
        <v>0.2</v>
      </c>
      <c r="R10" t="s">
        <v>0</v>
      </c>
      <c r="T10" s="1">
        <v>0.2</v>
      </c>
      <c r="V10" t="s">
        <v>0</v>
      </c>
      <c r="X10" s="1">
        <v>0.2</v>
      </c>
      <c r="Z10" t="s">
        <v>0</v>
      </c>
      <c r="AB10" s="1">
        <v>0.2</v>
      </c>
    </row>
    <row r="11" spans="1:30" s="5" customFormat="1" x14ac:dyDescent="0.3">
      <c r="A11" s="25"/>
      <c r="B11" s="25" t="s">
        <v>1</v>
      </c>
      <c r="C11" s="25"/>
      <c r="D11" s="26">
        <v>0.25590000000000002</v>
      </c>
      <c r="E11" s="25"/>
      <c r="F11" s="25" t="s">
        <v>1</v>
      </c>
      <c r="G11" s="25"/>
      <c r="H11" s="27">
        <v>0.18</v>
      </c>
      <c r="I11" s="25"/>
      <c r="J11" s="25" t="s">
        <v>1</v>
      </c>
      <c r="K11" s="25"/>
      <c r="L11" s="28">
        <v>0.16200000000000001</v>
      </c>
      <c r="M11" s="25"/>
      <c r="N11" s="25" t="s">
        <v>1</v>
      </c>
      <c r="O11" s="25"/>
      <c r="P11" s="28">
        <v>0.14399999999999999</v>
      </c>
      <c r="Q11" s="25"/>
      <c r="R11" s="25" t="s">
        <v>1</v>
      </c>
      <c r="S11" s="25"/>
      <c r="T11" s="28">
        <v>0.126</v>
      </c>
      <c r="U11" s="25"/>
      <c r="V11" s="25" t="s">
        <v>1</v>
      </c>
      <c r="W11" s="25"/>
      <c r="X11" s="28">
        <v>0.108</v>
      </c>
      <c r="Y11" s="25"/>
      <c r="Z11" s="25" t="s">
        <v>1</v>
      </c>
      <c r="AA11" s="25"/>
      <c r="AB11" s="28">
        <v>0</v>
      </c>
    </row>
    <row r="12" spans="1:30" ht="13.8" customHeight="1" x14ac:dyDescent="0.3">
      <c r="B12" t="s">
        <v>2</v>
      </c>
      <c r="D12" s="1">
        <v>0.15</v>
      </c>
      <c r="F12" t="s">
        <v>2</v>
      </c>
      <c r="H12" s="1">
        <v>0.15</v>
      </c>
      <c r="J12" t="s">
        <v>2</v>
      </c>
      <c r="L12" s="1">
        <v>0.15</v>
      </c>
      <c r="N12" t="s">
        <v>2</v>
      </c>
      <c r="P12" s="1">
        <v>0.15</v>
      </c>
      <c r="R12" t="s">
        <v>2</v>
      </c>
      <c r="T12" s="1">
        <v>0.15</v>
      </c>
      <c r="V12" t="s">
        <v>2</v>
      </c>
      <c r="X12" s="1">
        <v>0.15</v>
      </c>
      <c r="Z12" s="31" t="s">
        <v>2</v>
      </c>
      <c r="AA12" s="31"/>
      <c r="AB12" s="32">
        <v>0.15</v>
      </c>
      <c r="AC12" s="5"/>
      <c r="AD12" s="5"/>
    </row>
    <row r="13" spans="1:30" x14ac:dyDescent="0.3">
      <c r="B13" s="6" t="s">
        <v>3</v>
      </c>
      <c r="C13" s="6"/>
      <c r="D13" s="7">
        <f>1/(1-(D10+D11+D12))</f>
        <v>2.5374270489723418</v>
      </c>
      <c r="F13" s="6" t="s">
        <v>3</v>
      </c>
      <c r="G13" s="6"/>
      <c r="H13" s="7">
        <f>1/(1-(H10+H11+H12))</f>
        <v>2.1276595744680851</v>
      </c>
      <c r="J13" s="6" t="s">
        <v>3</v>
      </c>
      <c r="K13" s="6"/>
      <c r="L13" s="7">
        <f>1/(1-(L10+L11+L12))</f>
        <v>2.0491803278688523</v>
      </c>
      <c r="N13" s="6" t="s">
        <v>3</v>
      </c>
      <c r="O13" s="6"/>
      <c r="P13" s="7">
        <f>1/(1-(P10+P11+P12))</f>
        <v>1.9762845849802371</v>
      </c>
      <c r="R13" s="6" t="s">
        <v>3</v>
      </c>
      <c r="S13" s="6"/>
      <c r="T13" s="7">
        <f>1/(1-(T10+T11+T12))</f>
        <v>1.9083969465648853</v>
      </c>
      <c r="V13" s="6" t="s">
        <v>3</v>
      </c>
      <c r="W13" s="6"/>
      <c r="X13" s="7">
        <f>1/(1-(X10+X11+X12))</f>
        <v>1.8450184501845017</v>
      </c>
      <c r="Z13" s="6" t="s">
        <v>3</v>
      </c>
      <c r="AA13" s="6"/>
      <c r="AB13" s="7">
        <f>1/(1-(AB10+AB11+AB12))</f>
        <v>1.5384615384615383</v>
      </c>
      <c r="AC13" s="5"/>
      <c r="AD13" s="5"/>
    </row>
    <row r="15" spans="1:30" s="23" customFormat="1" x14ac:dyDescent="0.3">
      <c r="A15" s="21"/>
      <c r="B15" s="8" t="s">
        <v>5</v>
      </c>
      <c r="C15" s="8"/>
      <c r="D15" s="20">
        <v>250000</v>
      </c>
      <c r="E15" s="21"/>
      <c r="F15" s="8" t="s">
        <v>5</v>
      </c>
      <c r="G15" s="8"/>
      <c r="H15" s="20">
        <f>D15</f>
        <v>250000</v>
      </c>
      <c r="I15" s="21"/>
      <c r="J15" s="8" t="s">
        <v>5</v>
      </c>
      <c r="K15" s="8"/>
      <c r="L15" s="20">
        <f>H15</f>
        <v>250000</v>
      </c>
      <c r="M15" s="21"/>
      <c r="N15" s="8" t="s">
        <v>5</v>
      </c>
      <c r="O15" s="8"/>
      <c r="P15" s="20">
        <f>L15</f>
        <v>250000</v>
      </c>
      <c r="Q15" s="21"/>
      <c r="R15" s="8" t="s">
        <v>5</v>
      </c>
      <c r="S15" s="8"/>
      <c r="T15" s="20">
        <f>P15</f>
        <v>250000</v>
      </c>
      <c r="U15" s="21"/>
      <c r="V15" s="8" t="s">
        <v>5</v>
      </c>
      <c r="W15" s="8"/>
      <c r="X15" s="20">
        <f>T15</f>
        <v>250000</v>
      </c>
      <c r="Y15" s="21"/>
      <c r="Z15" s="8" t="s">
        <v>5</v>
      </c>
      <c r="AA15" s="8"/>
      <c r="AB15" s="20">
        <f>X15</f>
        <v>250000</v>
      </c>
    </row>
    <row r="16" spans="1:30" x14ac:dyDescent="0.3">
      <c r="B16" t="s">
        <v>7</v>
      </c>
      <c r="C16" s="3">
        <v>0.18</v>
      </c>
      <c r="D16" s="2">
        <f>-D15*C16</f>
        <v>-45000</v>
      </c>
      <c r="F16" t="s">
        <v>7</v>
      </c>
      <c r="G16" s="3">
        <v>0.18</v>
      </c>
      <c r="H16" s="2">
        <f>-H15*G16</f>
        <v>-45000</v>
      </c>
      <c r="J16" t="s">
        <v>16</v>
      </c>
      <c r="K16" s="3">
        <f>-(18%*10%-18%)</f>
        <v>0.16200000000000001</v>
      </c>
      <c r="L16" s="2">
        <f>-L15*K16</f>
        <v>-40500</v>
      </c>
      <c r="N16" t="s">
        <v>21</v>
      </c>
      <c r="O16" s="3">
        <f>-(18%*20%-18%)</f>
        <v>0.14399999999999999</v>
      </c>
      <c r="P16" s="2">
        <f>-P15*O16</f>
        <v>-36000</v>
      </c>
      <c r="R16" t="s">
        <v>24</v>
      </c>
      <c r="S16" s="3">
        <f>-(18%*30%-18%)</f>
        <v>0.126</v>
      </c>
      <c r="T16" s="2">
        <f>-T15*S16</f>
        <v>-31500</v>
      </c>
      <c r="V16" t="s">
        <v>27</v>
      </c>
      <c r="W16" s="3">
        <f>-(18%*40%-18%)</f>
        <v>0.108</v>
      </c>
      <c r="X16" s="2">
        <f>-X15*W16</f>
        <v>-27000</v>
      </c>
      <c r="Z16" t="s">
        <v>15</v>
      </c>
      <c r="AA16" s="4">
        <v>0.18</v>
      </c>
      <c r="AB16" s="2">
        <f>-AB15*AA16</f>
        <v>-45000</v>
      </c>
    </row>
    <row r="17" spans="2:28" x14ac:dyDescent="0.3">
      <c r="B17" t="s">
        <v>8</v>
      </c>
      <c r="C17" s="3">
        <v>9.2499999999999999E-2</v>
      </c>
      <c r="D17" s="2">
        <f>-(D15+D16)*C17</f>
        <v>-18962.5</v>
      </c>
      <c r="F17" t="s">
        <v>12</v>
      </c>
      <c r="G17" s="3">
        <v>0.1</v>
      </c>
      <c r="H17" s="2">
        <f>-H15*G17</f>
        <v>-25000</v>
      </c>
      <c r="J17" t="s">
        <v>17</v>
      </c>
      <c r="K17" s="4">
        <f>-(18%*90%-18%)</f>
        <v>1.7999999999999988E-2</v>
      </c>
      <c r="L17" s="2">
        <f>-L15*K17</f>
        <v>-4499.9999999999973</v>
      </c>
      <c r="N17" t="s">
        <v>22</v>
      </c>
      <c r="O17" s="4">
        <f>-(18%*80%-18%)</f>
        <v>3.6000000000000004E-2</v>
      </c>
      <c r="P17" s="2">
        <f>-P15*O17</f>
        <v>-9000.0000000000018</v>
      </c>
      <c r="R17" t="s">
        <v>25</v>
      </c>
      <c r="S17" s="4">
        <f>-(18%*70%-18%)</f>
        <v>5.3999999999999992E-2</v>
      </c>
      <c r="T17" s="2">
        <f>-T15*S17</f>
        <v>-13499.999999999998</v>
      </c>
      <c r="V17" t="s">
        <v>28</v>
      </c>
      <c r="W17" s="4">
        <f>-(18%*60%-18%)</f>
        <v>7.1999999999999995E-2</v>
      </c>
      <c r="X17" s="2">
        <f>-X15*W17</f>
        <v>-18000</v>
      </c>
      <c r="Z17" t="s">
        <v>11</v>
      </c>
      <c r="AA17" s="3">
        <v>0.1</v>
      </c>
      <c r="AB17" s="2">
        <f>-AB15*AA17</f>
        <v>-25000</v>
      </c>
    </row>
    <row r="18" spans="2:28" x14ac:dyDescent="0.3">
      <c r="B18" t="s">
        <v>6</v>
      </c>
      <c r="D18" s="2">
        <f>SUM(D15:D17)</f>
        <v>186037.5</v>
      </c>
      <c r="F18" t="s">
        <v>6</v>
      </c>
      <c r="H18" s="2">
        <f>SUM(H15:H17)</f>
        <v>180000</v>
      </c>
      <c r="J18" t="s">
        <v>11</v>
      </c>
      <c r="K18" s="3">
        <v>0.1</v>
      </c>
      <c r="L18" s="2">
        <f>-L15*K18</f>
        <v>-25000</v>
      </c>
      <c r="N18" t="s">
        <v>11</v>
      </c>
      <c r="O18" s="3">
        <v>0.1</v>
      </c>
      <c r="P18" s="2">
        <f>-P15*O18</f>
        <v>-25000</v>
      </c>
      <c r="R18" t="s">
        <v>11</v>
      </c>
      <c r="S18" s="3">
        <v>0.1</v>
      </c>
      <c r="T18" s="2">
        <f>-T15*S18</f>
        <v>-25000</v>
      </c>
      <c r="V18" t="s">
        <v>11</v>
      </c>
      <c r="W18" s="3">
        <v>0.1</v>
      </c>
      <c r="X18" s="2">
        <f>-X15*W18</f>
        <v>-25000</v>
      </c>
      <c r="Z18" t="s">
        <v>6</v>
      </c>
      <c r="AB18" s="2">
        <f>SUM(AB15:AB17)</f>
        <v>180000</v>
      </c>
    </row>
    <row r="19" spans="2:28" x14ac:dyDescent="0.3">
      <c r="J19" t="s">
        <v>6</v>
      </c>
      <c r="L19" s="2">
        <f>SUM(L15:L18)</f>
        <v>180000</v>
      </c>
      <c r="N19" t="s">
        <v>6</v>
      </c>
      <c r="P19" s="2">
        <f>SUM(P15:P18)</f>
        <v>180000</v>
      </c>
      <c r="R19" t="s">
        <v>6</v>
      </c>
      <c r="T19" s="2">
        <f>SUM(T15:T18)</f>
        <v>180000</v>
      </c>
      <c r="V19" t="s">
        <v>6</v>
      </c>
      <c r="X19" s="2">
        <f>SUM(X15:X18)</f>
        <v>180000</v>
      </c>
    </row>
    <row r="21" spans="2:28" x14ac:dyDescent="0.3">
      <c r="B21" s="6" t="s">
        <v>14</v>
      </c>
      <c r="C21" s="6"/>
      <c r="D21" s="7">
        <f>D18*D13</f>
        <v>472056.58462319203</v>
      </c>
      <c r="F21" s="6" t="s">
        <v>14</v>
      </c>
      <c r="G21" s="6"/>
      <c r="H21" s="7">
        <f>H18*H13</f>
        <v>382978.72340425529</v>
      </c>
      <c r="J21" s="6" t="s">
        <v>14</v>
      </c>
      <c r="K21" s="6"/>
      <c r="L21" s="7">
        <f>L19*L13</f>
        <v>368852.4590163934</v>
      </c>
      <c r="N21" s="6" t="s">
        <v>14</v>
      </c>
      <c r="O21" s="6"/>
      <c r="P21" s="7">
        <f>P19*P13</f>
        <v>355731.22529644269</v>
      </c>
      <c r="R21" s="6" t="s">
        <v>14</v>
      </c>
      <c r="S21" s="6"/>
      <c r="T21" s="7">
        <f>T19*T13</f>
        <v>343511.45038167934</v>
      </c>
      <c r="V21" s="6" t="s">
        <v>14</v>
      </c>
      <c r="W21" s="6"/>
      <c r="X21" s="7">
        <f>X19*X13</f>
        <v>332103.32103321032</v>
      </c>
      <c r="Z21" s="6" t="s">
        <v>14</v>
      </c>
      <c r="AA21" s="6"/>
      <c r="AB21" s="7">
        <f>AB18*AB13</f>
        <v>276923.07692307688</v>
      </c>
    </row>
    <row r="22" spans="2:28" x14ac:dyDescent="0.3">
      <c r="H22" t="s">
        <v>33</v>
      </c>
      <c r="L22" t="s">
        <v>33</v>
      </c>
      <c r="P22" t="s">
        <v>33</v>
      </c>
      <c r="T22" t="s">
        <v>33</v>
      </c>
      <c r="X22" t="s">
        <v>33</v>
      </c>
      <c r="AB22" t="s">
        <v>33</v>
      </c>
    </row>
    <row r="23" spans="2:28" x14ac:dyDescent="0.3">
      <c r="H23" t="s">
        <v>34</v>
      </c>
      <c r="L23" t="s">
        <v>34</v>
      </c>
      <c r="P23" t="s">
        <v>34</v>
      </c>
      <c r="T23" t="s">
        <v>34</v>
      </c>
      <c r="X23" t="s">
        <v>34</v>
      </c>
      <c r="AB23" t="s">
        <v>34</v>
      </c>
    </row>
  </sheetData>
  <mergeCells count="9">
    <mergeCell ref="F2:AB5"/>
    <mergeCell ref="B4:D5"/>
    <mergeCell ref="B9:D9"/>
    <mergeCell ref="F9:H9"/>
    <mergeCell ref="J9:L9"/>
    <mergeCell ref="N9:P9"/>
    <mergeCell ref="R9:T9"/>
    <mergeCell ref="V9:X9"/>
    <mergeCell ref="Z9:AB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7BAA-2791-4835-A752-8A7C2B9D1F19}">
  <dimension ref="A1:AB23"/>
  <sheetViews>
    <sheetView showGridLines="0" zoomScale="140" zoomScaleNormal="140" workbookViewId="0">
      <selection activeCell="B2" sqref="B2"/>
    </sheetView>
  </sheetViews>
  <sheetFormatPr defaultRowHeight="14.4" x14ac:dyDescent="0.3"/>
  <cols>
    <col min="1" max="1" width="0.88671875" customWidth="1"/>
    <col min="2" max="2" width="28.77734375" customWidth="1"/>
    <col min="3" max="3" width="7.5546875" customWidth="1"/>
    <col min="4" max="4" width="11.44140625" bestFit="1" customWidth="1"/>
    <col min="5" max="5" width="1.6640625" customWidth="1"/>
    <col min="6" max="6" width="27.5546875" bestFit="1" customWidth="1"/>
    <col min="8" max="8" width="11.5546875" bestFit="1" customWidth="1"/>
    <col min="9" max="9" width="1.6640625" customWidth="1"/>
    <col min="10" max="10" width="27.5546875" bestFit="1" customWidth="1"/>
    <col min="12" max="12" width="11.5546875" bestFit="1" customWidth="1"/>
    <col min="13" max="13" width="1.6640625" customWidth="1"/>
    <col min="14" max="14" width="27.5546875" bestFit="1" customWidth="1"/>
    <col min="16" max="16" width="11.5546875" bestFit="1" customWidth="1"/>
    <col min="17" max="17" width="1.6640625" customWidth="1"/>
    <col min="18" max="18" width="27.5546875" bestFit="1" customWidth="1"/>
    <col min="20" max="20" width="11.5546875" bestFit="1" customWidth="1"/>
    <col min="21" max="21" width="1.6640625" customWidth="1"/>
    <col min="22" max="22" width="27.5546875" bestFit="1" customWidth="1"/>
    <col min="24" max="24" width="11.5546875" bestFit="1" customWidth="1"/>
    <col min="25" max="25" width="1.6640625" customWidth="1"/>
    <col min="26" max="26" width="27.5546875" bestFit="1" customWidth="1"/>
    <col min="28" max="28" width="11.5546875" bestFit="1" customWidth="1"/>
  </cols>
  <sheetData>
    <row r="1" spans="1:28" ht="3.6" customHeight="1" thickBot="1" x14ac:dyDescent="0.35"/>
    <row r="2" spans="1:28" ht="25.2" customHeight="1" thickTop="1" x14ac:dyDescent="0.3">
      <c r="B2" s="10"/>
      <c r="C2" s="11"/>
      <c r="D2" s="12"/>
      <c r="F2" s="40" t="s">
        <v>30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8.4" customHeight="1" thickBot="1" x14ac:dyDescent="0.35">
      <c r="B3" s="13"/>
      <c r="D3" s="14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14.4" customHeight="1" x14ac:dyDescent="0.3">
      <c r="B4" s="34" t="s">
        <v>4</v>
      </c>
      <c r="C4" s="35"/>
      <c r="D4" s="36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spans="1:28" ht="15" customHeight="1" thickBot="1" x14ac:dyDescent="0.35">
      <c r="B5" s="37"/>
      <c r="C5" s="38"/>
      <c r="D5" s="39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8" ht="14.4" customHeight="1" x14ac:dyDescent="0.3">
      <c r="B6" s="15" t="s">
        <v>18</v>
      </c>
      <c r="C6" s="9"/>
      <c r="D6" s="16"/>
      <c r="F6" s="24" t="s">
        <v>31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5" customHeight="1" thickBot="1" x14ac:dyDescent="0.35">
      <c r="B7" s="17" t="s">
        <v>19</v>
      </c>
      <c r="C7" s="18"/>
      <c r="D7" s="19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7.8" customHeight="1" thickTop="1" x14ac:dyDescent="0.3"/>
    <row r="9" spans="1:28" ht="21" x14ac:dyDescent="0.4">
      <c r="B9" s="33" t="s">
        <v>9</v>
      </c>
      <c r="C9" s="33"/>
      <c r="D9" s="33"/>
      <c r="E9" s="5"/>
      <c r="F9" s="33" t="s">
        <v>10</v>
      </c>
      <c r="G9" s="33"/>
      <c r="H9" s="33"/>
      <c r="J9" s="33" t="s">
        <v>13</v>
      </c>
      <c r="K9" s="33"/>
      <c r="L9" s="33"/>
      <c r="N9" s="33" t="s">
        <v>20</v>
      </c>
      <c r="O9" s="33"/>
      <c r="P9" s="33"/>
      <c r="R9" s="33" t="s">
        <v>23</v>
      </c>
      <c r="S9" s="33"/>
      <c r="T9" s="33"/>
      <c r="V9" s="33" t="s">
        <v>26</v>
      </c>
      <c r="W9" s="33"/>
      <c r="X9" s="33"/>
      <c r="Z9" s="33" t="s">
        <v>29</v>
      </c>
      <c r="AA9" s="33"/>
      <c r="AB9" s="33"/>
    </row>
    <row r="10" spans="1:28" ht="13.8" customHeight="1" x14ac:dyDescent="0.3">
      <c r="B10" t="s">
        <v>0</v>
      </c>
      <c r="D10" s="1">
        <v>0.2</v>
      </c>
      <c r="F10" t="s">
        <v>0</v>
      </c>
      <c r="H10" s="1">
        <v>0.2</v>
      </c>
      <c r="J10" t="s">
        <v>0</v>
      </c>
      <c r="L10" s="1">
        <v>0.2</v>
      </c>
      <c r="N10" t="s">
        <v>0</v>
      </c>
      <c r="P10" s="1">
        <v>0.2</v>
      </c>
      <c r="R10" t="s">
        <v>0</v>
      </c>
      <c r="T10" s="1">
        <v>0.2</v>
      </c>
      <c r="V10" t="s">
        <v>0</v>
      </c>
      <c r="X10" s="1">
        <v>0.2</v>
      </c>
      <c r="Z10" t="s">
        <v>0</v>
      </c>
      <c r="AB10" s="1">
        <v>0.2</v>
      </c>
    </row>
    <row r="11" spans="1:28" s="5" customFormat="1" x14ac:dyDescent="0.3">
      <c r="A11" s="25"/>
      <c r="B11" s="25" t="s">
        <v>1</v>
      </c>
      <c r="C11" s="25"/>
      <c r="D11" s="26">
        <v>0.25590000000000002</v>
      </c>
      <c r="E11" s="25"/>
      <c r="F11" s="25" t="s">
        <v>1</v>
      </c>
      <c r="G11" s="25"/>
      <c r="H11" s="27">
        <v>0.28000000000000003</v>
      </c>
      <c r="I11" s="25"/>
      <c r="J11" s="25" t="s">
        <v>1</v>
      </c>
      <c r="K11" s="25"/>
      <c r="L11" s="26">
        <v>0.28000000000000003</v>
      </c>
      <c r="M11" s="25"/>
      <c r="N11" s="25" t="s">
        <v>1</v>
      </c>
      <c r="O11" s="25"/>
      <c r="P11" s="26">
        <v>0.28000000000000003</v>
      </c>
      <c r="Q11" s="25"/>
      <c r="R11" s="25" t="s">
        <v>1</v>
      </c>
      <c r="S11" s="25"/>
      <c r="T11" s="26">
        <v>0.28000000000000003</v>
      </c>
      <c r="U11" s="25"/>
      <c r="V11" s="25" t="s">
        <v>1</v>
      </c>
      <c r="W11" s="25"/>
      <c r="X11" s="26">
        <v>0.28000000000000003</v>
      </c>
      <c r="Y11" s="25"/>
      <c r="Z11" s="25" t="s">
        <v>1</v>
      </c>
      <c r="AA11" s="25"/>
      <c r="AB11" s="26">
        <v>0.28000000000000003</v>
      </c>
    </row>
    <row r="12" spans="1:28" ht="13.8" customHeight="1" x14ac:dyDescent="0.3">
      <c r="B12" t="s">
        <v>2</v>
      </c>
      <c r="D12" s="1">
        <v>0.15</v>
      </c>
      <c r="F12" t="s">
        <v>2</v>
      </c>
      <c r="H12" s="1">
        <v>0.15</v>
      </c>
      <c r="J12" t="s">
        <v>2</v>
      </c>
      <c r="L12" s="1">
        <v>0.15</v>
      </c>
      <c r="N12" t="s">
        <v>2</v>
      </c>
      <c r="P12" s="1">
        <v>0.15</v>
      </c>
      <c r="R12" t="s">
        <v>2</v>
      </c>
      <c r="T12" s="1">
        <v>0.15</v>
      </c>
      <c r="V12" t="s">
        <v>2</v>
      </c>
      <c r="X12" s="1">
        <v>0.15</v>
      </c>
      <c r="Z12" t="s">
        <v>2</v>
      </c>
      <c r="AB12" s="1">
        <v>0.15</v>
      </c>
    </row>
    <row r="13" spans="1:28" x14ac:dyDescent="0.3">
      <c r="B13" s="6" t="s">
        <v>3</v>
      </c>
      <c r="C13" s="6"/>
      <c r="D13" s="7">
        <f>1/(1-(D10+D11+D12))</f>
        <v>2.5374270489723418</v>
      </c>
      <c r="F13" s="6" t="s">
        <v>3</v>
      </c>
      <c r="G13" s="6"/>
      <c r="H13" s="7">
        <f>1/(1-(H10+H11+H12))</f>
        <v>2.7027027027027026</v>
      </c>
      <c r="J13" s="6" t="s">
        <v>3</v>
      </c>
      <c r="K13" s="6"/>
      <c r="L13" s="7">
        <f>1/(1-(L10+L11+L12))</f>
        <v>2.7027027027027026</v>
      </c>
      <c r="N13" s="6" t="s">
        <v>3</v>
      </c>
      <c r="O13" s="6"/>
      <c r="P13" s="7">
        <f>1/(1-(P10+P11+P12))</f>
        <v>2.7027027027027026</v>
      </c>
      <c r="R13" s="6" t="s">
        <v>3</v>
      </c>
      <c r="S13" s="6"/>
      <c r="T13" s="7">
        <f>1/(1-(T10+T11+T12))</f>
        <v>2.7027027027027026</v>
      </c>
      <c r="V13" s="6" t="s">
        <v>3</v>
      </c>
      <c r="W13" s="6"/>
      <c r="X13" s="7">
        <f>1/(1-(X10+X11+X12))</f>
        <v>2.7027027027027026</v>
      </c>
      <c r="Z13" s="6" t="s">
        <v>3</v>
      </c>
      <c r="AA13" s="6"/>
      <c r="AB13" s="7">
        <f>1/(1-(AB10+AB11+AB12))</f>
        <v>2.7027027027027026</v>
      </c>
    </row>
    <row r="15" spans="1:28" s="23" customFormat="1" x14ac:dyDescent="0.3">
      <c r="A15" s="21"/>
      <c r="B15" s="8" t="s">
        <v>5</v>
      </c>
      <c r="C15" s="8"/>
      <c r="D15" s="20">
        <v>250000</v>
      </c>
      <c r="E15" s="21"/>
      <c r="F15" s="8" t="s">
        <v>5</v>
      </c>
      <c r="G15" s="8"/>
      <c r="H15" s="20">
        <f>D15</f>
        <v>250000</v>
      </c>
      <c r="I15" s="21"/>
      <c r="J15" s="8" t="s">
        <v>5</v>
      </c>
      <c r="K15" s="8"/>
      <c r="L15" s="20">
        <f>H15</f>
        <v>250000</v>
      </c>
      <c r="M15" s="21"/>
      <c r="N15" s="8" t="s">
        <v>5</v>
      </c>
      <c r="O15" s="8"/>
      <c r="P15" s="20">
        <f>L15</f>
        <v>250000</v>
      </c>
      <c r="Q15" s="21"/>
      <c r="R15" s="8" t="s">
        <v>5</v>
      </c>
      <c r="S15" s="8"/>
      <c r="T15" s="20">
        <f>P15</f>
        <v>250000</v>
      </c>
      <c r="U15" s="21"/>
      <c r="V15" s="8" t="s">
        <v>5</v>
      </c>
      <c r="W15" s="8"/>
      <c r="X15" s="20">
        <f>T15</f>
        <v>250000</v>
      </c>
      <c r="Y15" s="21"/>
      <c r="Z15" s="8" t="s">
        <v>5</v>
      </c>
      <c r="AA15" s="8"/>
      <c r="AB15" s="20">
        <f>X15</f>
        <v>250000</v>
      </c>
    </row>
    <row r="16" spans="1:28" x14ac:dyDescent="0.3">
      <c r="B16" t="s">
        <v>7</v>
      </c>
      <c r="C16" s="3">
        <v>0.18</v>
      </c>
      <c r="D16" s="2">
        <f>-D15*C16</f>
        <v>-45000</v>
      </c>
      <c r="F16" t="s">
        <v>7</v>
      </c>
      <c r="G16" s="3">
        <v>0.18</v>
      </c>
      <c r="H16" s="2">
        <f>-H15*G16</f>
        <v>-45000</v>
      </c>
      <c r="J16" t="s">
        <v>16</v>
      </c>
      <c r="K16" s="3">
        <f>-(18%*10%-18%)</f>
        <v>0.16200000000000001</v>
      </c>
      <c r="L16" s="2">
        <f>-L15*K16</f>
        <v>-40500</v>
      </c>
      <c r="N16" t="s">
        <v>21</v>
      </c>
      <c r="O16" s="3">
        <f>-(18%*20%-18%)</f>
        <v>0.14399999999999999</v>
      </c>
      <c r="P16" s="2">
        <f>-P15*O16</f>
        <v>-36000</v>
      </c>
      <c r="R16" t="s">
        <v>24</v>
      </c>
      <c r="S16" s="3">
        <f>-(18%*30%-18%)</f>
        <v>0.126</v>
      </c>
      <c r="T16" s="2">
        <f>-T15*S16</f>
        <v>-31500</v>
      </c>
      <c r="V16" t="s">
        <v>27</v>
      </c>
      <c r="W16" s="3">
        <f>-(18%*40%-18%)</f>
        <v>0.108</v>
      </c>
      <c r="X16" s="2">
        <f>-X15*W16</f>
        <v>-27000</v>
      </c>
      <c r="Z16" t="s">
        <v>15</v>
      </c>
      <c r="AA16" s="4">
        <v>0.18</v>
      </c>
      <c r="AB16" s="2">
        <f>-AB15*AA16</f>
        <v>-45000</v>
      </c>
    </row>
    <row r="17" spans="2:28" x14ac:dyDescent="0.3">
      <c r="B17" t="s">
        <v>8</v>
      </c>
      <c r="C17" s="3">
        <v>9.2499999999999999E-2</v>
      </c>
      <c r="D17" s="2">
        <f>-(D15+D16)*C17</f>
        <v>-18962.5</v>
      </c>
      <c r="F17" t="s">
        <v>12</v>
      </c>
      <c r="G17" s="3">
        <v>0.1</v>
      </c>
      <c r="H17" s="2">
        <f>-H15*G17</f>
        <v>-25000</v>
      </c>
      <c r="J17" t="s">
        <v>17</v>
      </c>
      <c r="K17" s="4">
        <f>-(18%*90%-18%)</f>
        <v>1.7999999999999988E-2</v>
      </c>
      <c r="L17" s="2">
        <f>-L15*K17</f>
        <v>-4499.9999999999973</v>
      </c>
      <c r="N17" t="s">
        <v>22</v>
      </c>
      <c r="O17" s="4">
        <f>-(18%*80%-18%)</f>
        <v>3.6000000000000004E-2</v>
      </c>
      <c r="P17" s="2">
        <f>-P15*O17</f>
        <v>-9000.0000000000018</v>
      </c>
      <c r="R17" t="s">
        <v>25</v>
      </c>
      <c r="S17" s="4">
        <f>-(18%*70%-18%)</f>
        <v>5.3999999999999992E-2</v>
      </c>
      <c r="T17" s="2">
        <f>-T15*S17</f>
        <v>-13499.999999999998</v>
      </c>
      <c r="V17" t="s">
        <v>28</v>
      </c>
      <c r="W17" s="4">
        <f>-(18%*60%-18%)</f>
        <v>7.1999999999999995E-2</v>
      </c>
      <c r="X17" s="2">
        <f>-X15*W17</f>
        <v>-18000</v>
      </c>
      <c r="Z17" t="s">
        <v>11</v>
      </c>
      <c r="AA17" s="3">
        <v>0.1</v>
      </c>
      <c r="AB17" s="2">
        <f>-AB15*AA17</f>
        <v>-25000</v>
      </c>
    </row>
    <row r="18" spans="2:28" x14ac:dyDescent="0.3">
      <c r="B18" t="s">
        <v>6</v>
      </c>
      <c r="D18" s="2">
        <f>SUM(D15:D17)</f>
        <v>186037.5</v>
      </c>
      <c r="F18" t="s">
        <v>6</v>
      </c>
      <c r="H18" s="2">
        <f>SUM(H15:H17)</f>
        <v>180000</v>
      </c>
      <c r="J18" t="s">
        <v>11</v>
      </c>
      <c r="K18" s="3">
        <v>0.1</v>
      </c>
      <c r="L18" s="2">
        <f>-L15*K18</f>
        <v>-25000</v>
      </c>
      <c r="N18" t="s">
        <v>11</v>
      </c>
      <c r="O18" s="3">
        <v>0.1</v>
      </c>
      <c r="P18" s="2">
        <f>-P15*O18</f>
        <v>-25000</v>
      </c>
      <c r="R18" t="s">
        <v>11</v>
      </c>
      <c r="S18" s="3">
        <v>0.1</v>
      </c>
      <c r="T18" s="2">
        <f>-T15*S18</f>
        <v>-25000</v>
      </c>
      <c r="V18" t="s">
        <v>11</v>
      </c>
      <c r="W18" s="3">
        <v>0.1</v>
      </c>
      <c r="X18" s="2">
        <f>-X15*W18</f>
        <v>-25000</v>
      </c>
      <c r="Z18" t="s">
        <v>6</v>
      </c>
      <c r="AB18" s="2">
        <f>SUM(AB15:AB17)</f>
        <v>180000</v>
      </c>
    </row>
    <row r="19" spans="2:28" x14ac:dyDescent="0.3">
      <c r="J19" t="s">
        <v>6</v>
      </c>
      <c r="L19" s="2">
        <f>SUM(L15:L18)</f>
        <v>180000</v>
      </c>
      <c r="N19" t="s">
        <v>6</v>
      </c>
      <c r="P19" s="2">
        <f>SUM(P15:P18)</f>
        <v>180000</v>
      </c>
      <c r="R19" t="s">
        <v>6</v>
      </c>
      <c r="T19" s="2">
        <f>SUM(T15:T18)</f>
        <v>180000</v>
      </c>
      <c r="V19" t="s">
        <v>6</v>
      </c>
      <c r="X19" s="2">
        <f>SUM(X15:X18)</f>
        <v>180000</v>
      </c>
    </row>
    <row r="20" spans="2:28" x14ac:dyDescent="0.3">
      <c r="D20" s="4"/>
    </row>
    <row r="21" spans="2:28" x14ac:dyDescent="0.3">
      <c r="B21" s="6" t="s">
        <v>14</v>
      </c>
      <c r="C21" s="6"/>
      <c r="D21" s="7">
        <f>D18*D13</f>
        <v>472056.58462319203</v>
      </c>
      <c r="F21" s="6" t="s">
        <v>14</v>
      </c>
      <c r="G21" s="6"/>
      <c r="H21" s="7">
        <f>H18*H13</f>
        <v>486486.48648648645</v>
      </c>
      <c r="J21" s="6" t="s">
        <v>14</v>
      </c>
      <c r="K21" s="6"/>
      <c r="L21" s="7">
        <f>L19*L13</f>
        <v>486486.48648648645</v>
      </c>
      <c r="N21" s="6" t="s">
        <v>14</v>
      </c>
      <c r="O21" s="6"/>
      <c r="P21" s="7">
        <f>P19*P13</f>
        <v>486486.48648648645</v>
      </c>
      <c r="R21" s="6" t="s">
        <v>14</v>
      </c>
      <c r="S21" s="6"/>
      <c r="T21" s="7">
        <f>T19*T13</f>
        <v>486486.48648648645</v>
      </c>
      <c r="V21" s="6" t="s">
        <v>14</v>
      </c>
      <c r="W21" s="6"/>
      <c r="X21" s="7">
        <f>X19*X13</f>
        <v>486486.48648648645</v>
      </c>
      <c r="Z21" s="6" t="s">
        <v>14</v>
      </c>
      <c r="AA21" s="6"/>
      <c r="AB21" s="7">
        <f>AB18*AB13</f>
        <v>486486.48648648645</v>
      </c>
    </row>
    <row r="22" spans="2:28" x14ac:dyDescent="0.3">
      <c r="H22" t="s">
        <v>33</v>
      </c>
      <c r="L22" t="s">
        <v>33</v>
      </c>
      <c r="P22" t="s">
        <v>33</v>
      </c>
      <c r="T22" t="s">
        <v>33</v>
      </c>
      <c r="X22" t="s">
        <v>33</v>
      </c>
      <c r="AB22" t="s">
        <v>33</v>
      </c>
    </row>
    <row r="23" spans="2:28" x14ac:dyDescent="0.3">
      <c r="H23" t="s">
        <v>34</v>
      </c>
      <c r="L23" t="s">
        <v>34</v>
      </c>
      <c r="P23" t="s">
        <v>34</v>
      </c>
      <c r="T23" t="s">
        <v>34</v>
      </c>
      <c r="X23" t="s">
        <v>34</v>
      </c>
      <c r="AB23" t="s">
        <v>34</v>
      </c>
    </row>
  </sheetData>
  <mergeCells count="9">
    <mergeCell ref="R9:T9"/>
    <mergeCell ref="V9:X9"/>
    <mergeCell ref="Z9:AB9"/>
    <mergeCell ref="B4:D5"/>
    <mergeCell ref="B9:D9"/>
    <mergeCell ref="F9:H9"/>
    <mergeCell ref="J9:L9"/>
    <mergeCell ref="N9:P9"/>
    <mergeCell ref="F2:AB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Preço_Margem (por fora)</vt:lpstr>
      <vt:lpstr>Preço_Margem (por dentro)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Rocha</dc:creator>
  <cp:lastModifiedBy>Joyce Rocha</cp:lastModifiedBy>
  <dcterms:created xsi:type="dcterms:W3CDTF">2025-04-09T17:46:18Z</dcterms:created>
  <dcterms:modified xsi:type="dcterms:W3CDTF">2025-11-15T15:26:26Z</dcterms:modified>
</cp:coreProperties>
</file>