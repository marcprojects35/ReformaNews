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06. TRIBUTANDO COM A JOY\Produtos\OFICINA DE CÁLCULO IBS E CBS NA PRÁTICA\Materiais\"/>
    </mc:Choice>
  </mc:AlternateContent>
  <xr:revisionPtr revIDLastSave="0" documentId="13_ncr:1_{FA72DD53-972C-426B-894C-580631398685}" xr6:coauthVersionLast="46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erviç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39" i="1" l="1"/>
  <c r="AJ39" i="1"/>
  <c r="AI38" i="1"/>
  <c r="AJ38" i="1"/>
  <c r="L26" i="1"/>
  <c r="L30" i="1"/>
  <c r="P26" i="1"/>
  <c r="P30" i="1"/>
  <c r="D19" i="1"/>
  <c r="D15" i="1"/>
  <c r="D6" i="1"/>
  <c r="X33" i="1"/>
  <c r="W36" i="1" s="1"/>
  <c r="T33" i="1"/>
  <c r="S36" i="1" s="1"/>
  <c r="D27" i="1"/>
  <c r="D23" i="1"/>
  <c r="D20" i="1"/>
  <c r="D8" i="1"/>
  <c r="AE36" i="1"/>
  <c r="AA36" i="1"/>
  <c r="AF33" i="1"/>
  <c r="AB33" i="1"/>
  <c r="L23" i="1"/>
  <c r="T25" i="1" s="1"/>
  <c r="S27" i="1" s="1"/>
  <c r="G32" i="1"/>
  <c r="H32" i="1" s="1"/>
  <c r="G31" i="1"/>
  <c r="H31" i="1" s="1"/>
  <c r="S17" i="1"/>
  <c r="T17" i="1" s="1"/>
  <c r="H15" i="1"/>
  <c r="G35" i="1" l="1"/>
  <c r="G36" i="1"/>
  <c r="K29" i="1"/>
  <c r="S35" i="1"/>
  <c r="AJ25" i="1" l="1"/>
  <c r="AI27" i="1" s="1"/>
  <c r="AJ23" i="1"/>
  <c r="AJ28" i="1" s="1"/>
  <c r="AJ18" i="1"/>
  <c r="AI17" i="1"/>
  <c r="AF25" i="1"/>
  <c r="AF23" i="1"/>
  <c r="AF28" i="1" s="1"/>
  <c r="AF18" i="1"/>
  <c r="AE17" i="1"/>
  <c r="AB25" i="1"/>
  <c r="AB23" i="1"/>
  <c r="AB28" i="1" s="1"/>
  <c r="AB18" i="1"/>
  <c r="AA17" i="1"/>
  <c r="X25" i="1"/>
  <c r="W35" i="1" s="1"/>
  <c r="P23" i="1"/>
  <c r="X23" i="1"/>
  <c r="X28" i="1" s="1"/>
  <c r="X18" i="1"/>
  <c r="W17" i="1"/>
  <c r="T23" i="1"/>
  <c r="T18" i="1"/>
  <c r="P21" i="1"/>
  <c r="P15" i="1"/>
  <c r="P16" i="1"/>
  <c r="G41" i="1"/>
  <c r="C29" i="1"/>
  <c r="K25" i="1"/>
  <c r="L25" i="1" s="1"/>
  <c r="L21" i="1"/>
  <c r="AE27" i="1" l="1"/>
  <c r="AE35" i="1"/>
  <c r="AA27" i="1"/>
  <c r="AA35" i="1"/>
  <c r="O25" i="1"/>
  <c r="O29" i="1"/>
  <c r="T36" i="1"/>
  <c r="T28" i="1"/>
  <c r="AI31" i="1"/>
  <c r="AI37" i="1" s="1"/>
  <c r="T19" i="1"/>
  <c r="P17" i="1"/>
  <c r="AJ32" i="1"/>
  <c r="AJ17" i="1"/>
  <c r="AJ19" i="1" s="1"/>
  <c r="AF36" i="1"/>
  <c r="AF17" i="1"/>
  <c r="AF19" i="1" s="1"/>
  <c r="AB36" i="1"/>
  <c r="AB17" i="1"/>
  <c r="AB19" i="1" s="1"/>
  <c r="W27" i="1"/>
  <c r="X17" i="1"/>
  <c r="X19" i="1" s="1"/>
  <c r="X36" i="1"/>
  <c r="S41" i="1"/>
  <c r="K35" i="1"/>
  <c r="AA41" i="1" l="1"/>
  <c r="AE41" i="1"/>
  <c r="O35" i="1"/>
  <c r="W41" i="1"/>
  <c r="L16" i="1"/>
  <c r="L15" i="1"/>
  <c r="H26" i="1"/>
  <c r="H25" i="1"/>
  <c r="H22" i="1"/>
  <c r="H21" i="1"/>
  <c r="H16" i="1"/>
  <c r="D24" i="1"/>
  <c r="D16" i="1"/>
  <c r="H23" i="1" l="1"/>
  <c r="L17" i="1"/>
  <c r="H17" i="1"/>
  <c r="D17" i="1"/>
  <c r="H27" i="1"/>
  <c r="D25" i="1"/>
  <c r="D21" i="1"/>
  <c r="AB21" i="1" l="1"/>
  <c r="T21" i="1"/>
  <c r="AF21" i="1"/>
  <c r="P19" i="1"/>
  <c r="X21" i="1"/>
  <c r="L19" i="1"/>
  <c r="AJ21" i="1"/>
  <c r="H19" i="1"/>
  <c r="L29" i="1" l="1"/>
  <c r="L31" i="1" s="1"/>
  <c r="L27" i="1"/>
  <c r="T35" i="1"/>
  <c r="T37" i="1" s="1"/>
  <c r="T27" i="1"/>
  <c r="T29" i="1" s="1"/>
  <c r="H35" i="1"/>
  <c r="H36" i="1"/>
  <c r="P29" i="1"/>
  <c r="P31" i="1" s="1"/>
  <c r="P25" i="1"/>
  <c r="P27" i="1" s="1"/>
  <c r="AF35" i="1"/>
  <c r="AF37" i="1" s="1"/>
  <c r="AF27" i="1"/>
  <c r="AF29" i="1" s="1"/>
  <c r="AB35" i="1"/>
  <c r="AB37" i="1" s="1"/>
  <c r="AB27" i="1"/>
  <c r="AB29" i="1" s="1"/>
  <c r="AJ27" i="1"/>
  <c r="AJ29" i="1" s="1"/>
  <c r="AJ31" i="1"/>
  <c r="AJ33" i="1" s="1"/>
  <c r="X35" i="1"/>
  <c r="X37" i="1" s="1"/>
  <c r="X27" i="1"/>
  <c r="X29" i="1" s="1"/>
  <c r="P33" i="1" l="1"/>
  <c r="L33" i="1"/>
  <c r="AJ35" i="1"/>
  <c r="AB39" i="1"/>
  <c r="H33" i="1"/>
  <c r="H37" i="1"/>
  <c r="AF39" i="1"/>
  <c r="X39" i="1"/>
  <c r="T39" i="1"/>
  <c r="H3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Joyce Rocha</author>
    <author>Felipe Garnica da Costa</author>
  </authors>
  <commentList>
    <comment ref="D6" authorId="0" shapeId="0" xr:uid="{CC2077ED-1F9C-49CC-9306-E2F2BE4D538E}">
      <text>
        <r>
          <rPr>
            <b/>
            <sz val="9"/>
            <color indexed="81"/>
            <rFont val="Segoe UI"/>
            <family val="2"/>
          </rPr>
          <t>Faturamento (-) ISS (-) PIS (-) COFINS
5% ISS
0,65% PIS
3,00% COFINS</t>
        </r>
      </text>
    </comment>
    <comment ref="D8" authorId="0" shapeId="0" xr:uid="{170F9CCA-3D08-44B5-BF6E-1D87A1746C24}">
      <text>
        <r>
          <rPr>
            <b/>
            <sz val="9"/>
            <color indexed="81"/>
            <rFont val="Segoe UI"/>
            <family val="2"/>
          </rPr>
          <t>Base Bruta (-) Tributos no Preço
5% ISS
0,65% PIS
3,00% COFINS</t>
        </r>
      </text>
    </comment>
    <comment ref="H19" authorId="0" shapeId="0" xr:uid="{C2A4AA5D-A8E7-48F1-B51B-DEE55E84B543}">
      <text>
        <r>
          <rPr>
            <sz val="9"/>
            <color indexed="81"/>
            <rFont val="Segoe UI"/>
            <family val="2"/>
          </rPr>
          <t>Considerando que esse prestador não mexeu em nada na formação de preço dele e continua usando o mesmo critério desde sempre.</t>
        </r>
      </text>
    </comment>
    <comment ref="L19" authorId="0" shapeId="0" xr:uid="{9E684DE3-A03B-4F57-8447-FB0B64F80CCA}">
      <text>
        <r>
          <rPr>
            <sz val="9"/>
            <color indexed="81"/>
            <rFont val="Segoe UI"/>
            <family val="2"/>
          </rPr>
          <t>Considerando que esse prestador não mexeu em nada na formação de preço dele e continua usando o mesmo critério desde sempre.</t>
        </r>
      </text>
    </comment>
    <comment ref="P19" authorId="0" shapeId="0" xr:uid="{EC4AC294-5D2C-4ED2-8DDF-62A65760A94F}">
      <text>
        <r>
          <rPr>
            <sz val="9"/>
            <color indexed="81"/>
            <rFont val="Segoe UI"/>
            <family val="2"/>
          </rPr>
          <t>Considerando que esse prestador não mexeu em nada na formação de preço dele e continua usando o mesmo critério desde sempre.</t>
        </r>
      </text>
    </comment>
    <comment ref="L21" authorId="0" shapeId="0" xr:uid="{B64717E2-9EA6-4D62-A44A-B43F6324D4AA}">
      <text>
        <r>
          <rPr>
            <sz val="9"/>
            <color indexed="81"/>
            <rFont val="Segoe UI"/>
            <family val="2"/>
          </rPr>
          <t>Considerando que esse prestador não mexeu em nada na formação de preço dele e continua usando o mesmo critério desde sempre.</t>
        </r>
      </text>
    </comment>
    <comment ref="P21" authorId="0" shapeId="0" xr:uid="{E3A58360-A61F-42D3-A45C-EA0AD942A17B}">
      <text>
        <r>
          <rPr>
            <sz val="9"/>
            <color indexed="81"/>
            <rFont val="Segoe UI"/>
            <family val="2"/>
          </rPr>
          <t>Considerando que esse prestador não mexeu em nada na formação de preço dele e continua usando o mesmo critério desde sempre.</t>
        </r>
      </text>
    </comment>
    <comment ref="T21" authorId="0" shapeId="0" xr:uid="{CCBBEBA1-7A74-4412-A621-355F48166260}">
      <text>
        <r>
          <rPr>
            <sz val="9"/>
            <color indexed="81"/>
            <rFont val="Segoe UI"/>
            <family val="2"/>
          </rPr>
          <t>Considerando que esse prestador não mexeu em nada na formação de preço dele e continua usando o mesmo critério desde sempre.</t>
        </r>
      </text>
    </comment>
    <comment ref="X21" authorId="0" shapeId="0" xr:uid="{678C8A53-F543-4DA5-B6DE-2200BB776568}">
      <text>
        <r>
          <rPr>
            <sz val="9"/>
            <color indexed="81"/>
            <rFont val="Segoe UI"/>
            <family val="2"/>
          </rPr>
          <t>Considerando que esse prestador não mexeu em nada na formação de preço dele e continua usando o mesmo critério desde sempre.</t>
        </r>
      </text>
    </comment>
    <comment ref="AB21" authorId="0" shapeId="0" xr:uid="{B4C08D10-E763-4E92-8969-F5E9B55C670D}">
      <text>
        <r>
          <rPr>
            <sz val="9"/>
            <color indexed="81"/>
            <rFont val="Segoe UI"/>
            <family val="2"/>
          </rPr>
          <t>Considerando que esse prestador não mexeu em nada na formação de preço dele e continua usando o mesmo critério desde sempre.</t>
        </r>
      </text>
    </comment>
    <comment ref="AF21" authorId="0" shapeId="0" xr:uid="{B14B2F22-A0D7-481E-9A9E-485D00C3A53F}">
      <text>
        <r>
          <rPr>
            <sz val="9"/>
            <color indexed="81"/>
            <rFont val="Segoe UI"/>
            <family val="2"/>
          </rPr>
          <t>Considerando que esse prestador não mexeu em nada na formação de preço dele e continua usando o mesmo critério desde sempre.</t>
        </r>
      </text>
    </comment>
    <comment ref="AJ21" authorId="0" shapeId="0" xr:uid="{88902CCB-477B-46CF-B2A8-EB7E10D3A13E}">
      <text>
        <r>
          <rPr>
            <sz val="9"/>
            <color indexed="81"/>
            <rFont val="Segoe UI"/>
            <family val="2"/>
          </rPr>
          <t>Considerando que esse prestador não mexeu em nada na formação de preço dele e continua usando o mesmo critério desde sempre.</t>
        </r>
      </text>
    </comment>
    <comment ref="T23" authorId="0" shapeId="0" xr:uid="{11A30569-C867-4FD8-A6B0-4AF903D78F2E}">
      <text>
        <r>
          <rPr>
            <sz val="9"/>
            <color indexed="81"/>
            <rFont val="Segoe UI"/>
            <family val="2"/>
          </rPr>
          <t>Considerando que esse prestador não mexeu em nada na formação de preço dele e continua usando o mesmo critério desde sempre.</t>
        </r>
      </text>
    </comment>
    <comment ref="X23" authorId="0" shapeId="0" xr:uid="{28D75190-85DA-4365-BA62-976C5FD0F24E}">
      <text>
        <r>
          <rPr>
            <sz val="9"/>
            <color indexed="81"/>
            <rFont val="Segoe UI"/>
            <family val="2"/>
          </rPr>
          <t>Considerando que esse prestador não mexeu em nada na formação de preço dele e continua usando o mesmo critério desde sempre.</t>
        </r>
      </text>
    </comment>
    <comment ref="AB23" authorId="0" shapeId="0" xr:uid="{8E6B0ECB-F19C-468A-BAC9-695BD764EEE1}">
      <text>
        <r>
          <rPr>
            <sz val="9"/>
            <color indexed="81"/>
            <rFont val="Segoe UI"/>
            <family val="2"/>
          </rPr>
          <t>Considerando que esse prestador não mexeu em nada na formação de preço dele e continua usando o mesmo critério desde sempre.</t>
        </r>
      </text>
    </comment>
    <comment ref="AF23" authorId="0" shapeId="0" xr:uid="{31C7F782-80C7-4B4F-AE35-EE4FF30F67DB}">
      <text>
        <r>
          <rPr>
            <sz val="9"/>
            <color indexed="81"/>
            <rFont val="Segoe UI"/>
            <family val="2"/>
          </rPr>
          <t>Considerando que esse prestador não mexeu em nada na formação de preço dele e continua usando o mesmo critério desde sempre.</t>
        </r>
      </text>
    </comment>
    <comment ref="AJ23" authorId="0" shapeId="0" xr:uid="{1CD235CC-FED2-4151-A217-4430F8DFF40E}">
      <text>
        <r>
          <rPr>
            <sz val="9"/>
            <color indexed="81"/>
            <rFont val="Segoe UI"/>
            <family val="2"/>
          </rPr>
          <t>Considerando que esse prestador não mexeu em nada na formação de preço dele e continua usando o mesmo critério desde sempre.</t>
        </r>
      </text>
    </comment>
    <comment ref="J25" authorId="1" shapeId="0" xr:uid="{57EAC3A0-344C-46F9-8377-59D82203B4A9}">
      <text>
        <r>
          <rPr>
            <b/>
            <sz val="9"/>
            <color indexed="81"/>
            <rFont val="Segoe UI"/>
            <charset val="1"/>
          </rPr>
          <t>Previsão de redução de 0,10%</t>
        </r>
      </text>
    </comment>
    <comment ref="N25" authorId="1" shapeId="0" xr:uid="{F1901FDF-8007-4C0F-85A9-C3417F4F9CEB}">
      <text>
        <r>
          <rPr>
            <b/>
            <sz val="9"/>
            <color indexed="81"/>
            <rFont val="Segoe UI"/>
            <charset val="1"/>
          </rPr>
          <t>Previsão de redução de 0,10%</t>
        </r>
      </text>
    </comment>
  </commentList>
</comments>
</file>

<file path=xl/sharedStrings.xml><?xml version="1.0" encoding="utf-8"?>
<sst xmlns="http://schemas.openxmlformats.org/spreadsheetml/2006/main" count="177" uniqueCount="39">
  <si>
    <t>FATURAMENTO</t>
  </si>
  <si>
    <t>ISS (DÉBITO)</t>
  </si>
  <si>
    <t>ISS (CRÉDITO)</t>
  </si>
  <si>
    <t>= ISS A RECOLHER</t>
  </si>
  <si>
    <t>PIS (DÉBITO)</t>
  </si>
  <si>
    <t>PIS (CRÉDITO)</t>
  </si>
  <si>
    <t>= PIS A RECOLHER</t>
  </si>
  <si>
    <t>COFINS (DÉBITO)</t>
  </si>
  <si>
    <t>COFINS (CRÉDITO)</t>
  </si>
  <si>
    <t>= COFINS A RECOLHER</t>
  </si>
  <si>
    <t>= TRIBUTOS A RECOLHER</t>
  </si>
  <si>
    <t>ATUAL - 2025</t>
  </si>
  <si>
    <t>IBS</t>
  </si>
  <si>
    <t>CBS</t>
  </si>
  <si>
    <t>IBS/CBS A RECOLHER</t>
  </si>
  <si>
    <t>IBS/CBS A COMPENSAR</t>
  </si>
  <si>
    <t>CBS (DÉBITO)</t>
  </si>
  <si>
    <t>CBS (CRÉDITO)</t>
  </si>
  <si>
    <t>= CBS A RECOLHER</t>
  </si>
  <si>
    <t>VALOR DO SERVIÇO</t>
  </si>
  <si>
    <t>BASE BRUTA DE CRÉDITO</t>
  </si>
  <si>
    <t>BASE LIMPA DE CRÉDITO</t>
  </si>
  <si>
    <t>BASE BRUTA DE CRÉDITOS</t>
  </si>
  <si>
    <t>REDUÇÃO PELA ATIVIDADE</t>
  </si>
  <si>
    <t>BC LIMPA CRÉDITOS CBS</t>
  </si>
  <si>
    <t>IBS A RECOLHER</t>
  </si>
  <si>
    <t>Carga Bruta</t>
  </si>
  <si>
    <t>REDUÇÃO PROPORCIONAL</t>
  </si>
  <si>
    <t>IBS (DÉBITO)</t>
  </si>
  <si>
    <t>IBS (CRÉDITO)</t>
  </si>
  <si>
    <t>= IBS A RECOLHER</t>
  </si>
  <si>
    <r>
      <t>IBS (CRÉDITO)</t>
    </r>
    <r>
      <rPr>
        <b/>
        <sz val="11"/>
        <color rgb="FFFF0000"/>
        <rFont val="Calibri"/>
        <family val="2"/>
        <scheme val="minor"/>
      </rPr>
      <t>*</t>
    </r>
  </si>
  <si>
    <t>(*) ainda há controvérsias sobre esse crédito</t>
  </si>
  <si>
    <r>
      <t>IBS (DÉBITO)</t>
    </r>
    <r>
      <rPr>
        <b/>
        <sz val="11"/>
        <color rgb="FFFF0000"/>
        <rFont val="Calibri"/>
        <family val="2"/>
        <scheme val="minor"/>
      </rPr>
      <t>**</t>
    </r>
  </si>
  <si>
    <t>(**) ainda há controvérsias sobre atividades com redução, vai se aplicar a redução na redução?</t>
  </si>
  <si>
    <t>INFORMAÇÕES</t>
  </si>
  <si>
    <t>SIMULAÇÃO REFORMA TRIBUTÁRIA - ATUAL / TRANSIÇÃO / PÓS TRANSIÇÃO</t>
  </si>
  <si>
    <t>LUCRO PRESUMIDO - SERVIÇOS</t>
  </si>
  <si>
    <t>ALÍQUOTA IBS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</si>
</sst>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[Red]\-#,##0.00\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u/>
      <sz val="20"/>
      <color rgb="FFB3005E"/>
      <name val="Arial Black"/>
      <family val="2"/>
    </font>
    <font>
      <b/>
      <sz val="9"/>
      <color indexed="81"/>
      <name val="Segoe UI"/>
      <charset val="1"/>
    </font>
    <font>
      <sz val="40"/>
      <color rgb="FF002060"/>
      <name val="Arial Black"/>
      <family val="2"/>
    </font>
    <font>
      <b/>
      <i/>
      <u/>
      <sz val="20"/>
      <color rgb="FF002060"/>
      <name val="Arial Black"/>
      <family val="2"/>
    </font>
    <font>
      <b/>
      <sz val="14"/>
      <color rgb="FF00206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7F4D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rgb="FF002060"/>
      </left>
      <right/>
      <top style="thick">
        <color rgb="FF002060"/>
      </top>
      <bottom style="thick">
        <color rgb="FF002060"/>
      </bottom>
      <diagonal/>
    </border>
    <border>
      <left/>
      <right/>
      <top style="thick">
        <color rgb="FF002060"/>
      </top>
      <bottom style="thick">
        <color rgb="FF002060"/>
      </bottom>
      <diagonal/>
    </border>
    <border>
      <left/>
      <right style="thick">
        <color rgb="FF002060"/>
      </right>
      <top style="thick">
        <color rgb="FF002060"/>
      </top>
      <bottom style="thick">
        <color rgb="FF00206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0" applyFont="1"/>
    <xf numFmtId="10" fontId="4" fillId="0" borderId="0" xfId="0" applyNumberFormat="1" applyFont="1"/>
    <xf numFmtId="0" fontId="4" fillId="2" borderId="1" xfId="0" quotePrefix="1" applyFont="1" applyFill="1" applyBorder="1" applyAlignment="1">
      <alignment horizontal="left"/>
    </xf>
    <xf numFmtId="0" fontId="2" fillId="3" borderId="0" xfId="0" applyFont="1" applyFill="1"/>
    <xf numFmtId="9" fontId="2" fillId="3" borderId="0" xfId="2" applyFont="1" applyFill="1"/>
    <xf numFmtId="0" fontId="3" fillId="0" borderId="0" xfId="0" applyFont="1"/>
    <xf numFmtId="10" fontId="3" fillId="0" borderId="0" xfId="0" applyNumberFormat="1" applyFont="1"/>
    <xf numFmtId="0" fontId="11" fillId="0" borderId="0" xfId="0" applyFont="1"/>
    <xf numFmtId="164" fontId="0" fillId="0" borderId="0" xfId="1" applyNumberFormat="1" applyFont="1"/>
    <xf numFmtId="164" fontId="4" fillId="0" borderId="0" xfId="1" applyNumberFormat="1" applyFont="1"/>
    <xf numFmtId="164" fontId="0" fillId="0" borderId="0" xfId="0" applyNumberFormat="1"/>
    <xf numFmtId="164" fontId="3" fillId="0" borderId="0" xfId="1" applyNumberFormat="1" applyFont="1"/>
    <xf numFmtId="164" fontId="4" fillId="2" borderId="1" xfId="1" applyNumberFormat="1" applyFont="1" applyFill="1" applyBorder="1"/>
    <xf numFmtId="164" fontId="2" fillId="3" borderId="0" xfId="0" applyNumberFormat="1" applyFont="1" applyFill="1"/>
    <xf numFmtId="164" fontId="0" fillId="0" borderId="0" xfId="1" applyNumberFormat="1" applyFont="1" applyFill="1"/>
    <xf numFmtId="164" fontId="4" fillId="0" borderId="0" xfId="1" applyNumberFormat="1" applyFont="1" applyFill="1"/>
    <xf numFmtId="164" fontId="4" fillId="0" borderId="0" xfId="0" applyNumberFormat="1" applyFont="1"/>
    <xf numFmtId="43" fontId="0" fillId="0" borderId="0" xfId="0" applyNumberFormat="1"/>
    <xf numFmtId="0" fontId="11" fillId="0" borderId="0" xfId="0" applyFont="1" applyAlignment="1">
      <alignment horizontal="left" wrapText="1"/>
    </xf>
    <xf numFmtId="10" fontId="0" fillId="0" borderId="0" xfId="0" applyNumberFormat="1"/>
    <xf numFmtId="10" fontId="2" fillId="3" borderId="0" xfId="2" applyNumberFormat="1" applyFont="1" applyFill="1"/>
    <xf numFmtId="0" fontId="13" fillId="4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0" fillId="4" borderId="0" xfId="0" applyFill="1"/>
    <xf numFmtId="164" fontId="0" fillId="4" borderId="0" xfId="1" applyNumberFormat="1" applyFont="1" applyFill="1"/>
    <xf numFmtId="0" fontId="17" fillId="4" borderId="2" xfId="0" applyFont="1" applyFill="1" applyBorder="1" applyAlignment="1">
      <alignment horizontal="center"/>
    </xf>
    <xf numFmtId="0" fontId="17" fillId="4" borderId="3" xfId="0" applyFont="1" applyFill="1" applyBorder="1" applyAlignment="1">
      <alignment horizontal="center"/>
    </xf>
    <xf numFmtId="164" fontId="17" fillId="4" borderId="4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7" fillId="3" borderId="0" xfId="0" applyFont="1" applyFill="1" applyAlignment="1">
      <alignment horizontal="center"/>
    </xf>
    <xf numFmtId="164" fontId="7" fillId="3" borderId="0" xfId="0" applyNumberFormat="1" applyFont="1" applyFill="1" applyAlignment="1">
      <alignment horizontal="center"/>
    </xf>
    <xf numFmtId="0" fontId="16" fillId="4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4" fillId="2" borderId="1" xfId="0" quotePrefix="1" applyFont="1" applyFill="1" applyBorder="1" applyAlignment="1">
      <alignment horizontal="left"/>
    </xf>
    <xf numFmtId="0" fontId="11" fillId="0" borderId="0" xfId="0" applyFont="1" applyAlignment="1">
      <alignment horizontal="left" vertical="center" wrapText="1"/>
    </xf>
    <xf numFmtId="0" fontId="4" fillId="5" borderId="0" xfId="0" applyFont="1" applyFill="1"/>
    <xf numFmtId="10" fontId="4" fillId="5" borderId="0" xfId="0" applyNumberFormat="1" applyFont="1" applyFill="1"/>
    <xf numFmtId="164" fontId="10" fillId="5" borderId="0" xfId="1" applyNumberFormat="1" applyFont="1" applyFill="1"/>
    <xf numFmtId="0" fontId="4" fillId="5" borderId="1" xfId="0" quotePrefix="1" applyFont="1" applyFill="1" applyBorder="1" applyAlignment="1">
      <alignment horizontal="left"/>
    </xf>
    <xf numFmtId="164" fontId="4" fillId="5" borderId="1" xfId="1" applyNumberFormat="1" applyFont="1" applyFill="1" applyBorder="1"/>
    <xf numFmtId="0" fontId="4" fillId="6" borderId="0" xfId="0" applyFont="1" applyFill="1"/>
    <xf numFmtId="10" fontId="4" fillId="6" borderId="0" xfId="0" applyNumberFormat="1" applyFont="1" applyFill="1"/>
    <xf numFmtId="164" fontId="3" fillId="6" borderId="0" xfId="1" applyNumberFormat="1" applyFont="1" applyFill="1"/>
    <xf numFmtId="164" fontId="0" fillId="6" borderId="0" xfId="0" applyNumberFormat="1" applyFill="1"/>
    <xf numFmtId="164" fontId="0" fillId="6" borderId="0" xfId="1" applyNumberFormat="1" applyFont="1" applyFill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F7F4DD"/>
      <color rgb="FFB3005E"/>
      <color rgb="FFB72F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487680</xdr:colOff>
      <xdr:row>0</xdr:row>
      <xdr:rowOff>53340</xdr:rowOff>
    </xdr:from>
    <xdr:to>
      <xdr:col>3</xdr:col>
      <xdr:colOff>259080</xdr:colOff>
      <xdr:row>3</xdr:row>
      <xdr:rowOff>40074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ADD42F7-5D54-77E5-93D7-89012BDFC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53340"/>
          <a:ext cx="1889760" cy="5271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J48"/>
  <sheetViews>
    <sheetView showGridLines="0" tabSelected="1" zoomScale="145" zoomScaleNormal="145" workbookViewId="0">
      <selection sqref="A1:A1048576"/>
    </sheetView>
  </sheetViews>
  <sheetFormatPr defaultRowHeight="14.4" x14ac:dyDescent="0.3"/>
  <cols>
    <col min="1" max="1" width="0.88671875" customWidth="1"/>
    <col min="2" max="2" width="23.44140625" customWidth="1"/>
    <col min="3" max="3" width="7.44140625" customWidth="1"/>
    <col min="4" max="4" width="13.109375" style="11" customWidth="1"/>
    <col min="5" max="5" width="1.5546875" customWidth="1"/>
    <col min="6" max="6" width="23.44140625" customWidth="1"/>
    <col min="7" max="7" width="7.44140625" customWidth="1"/>
    <col min="8" max="8" width="13.109375" style="11" customWidth="1"/>
    <col min="9" max="9" width="1.5546875" customWidth="1"/>
    <col min="10" max="10" width="23.44140625" customWidth="1"/>
    <col min="11" max="11" width="7.44140625" customWidth="1"/>
    <col min="12" max="12" width="13.109375" style="11" customWidth="1"/>
    <col min="13" max="13" width="1.5546875" customWidth="1"/>
    <col min="14" max="14" width="23.44140625" customWidth="1"/>
    <col min="15" max="15" width="7.44140625" customWidth="1"/>
    <col min="16" max="16" width="13.109375" style="11" customWidth="1"/>
    <col min="17" max="17" width="1.5546875" customWidth="1"/>
    <col min="18" max="18" width="23.44140625" customWidth="1"/>
    <col min="19" max="19" width="7.44140625" customWidth="1"/>
    <col min="20" max="20" width="13.109375" style="11" customWidth="1"/>
    <col min="21" max="21" width="1.5546875" customWidth="1"/>
    <col min="22" max="22" width="23.44140625" customWidth="1"/>
    <col min="23" max="23" width="7.44140625" customWidth="1"/>
    <col min="24" max="24" width="13.109375" customWidth="1"/>
    <col min="25" max="25" width="1.5546875" customWidth="1"/>
    <col min="26" max="26" width="23.44140625" customWidth="1"/>
    <col min="27" max="27" width="7.44140625" customWidth="1"/>
    <col min="28" max="28" width="13.109375" customWidth="1"/>
    <col min="29" max="29" width="1.5546875" customWidth="1"/>
    <col min="30" max="30" width="23.44140625" customWidth="1"/>
    <col min="31" max="31" width="7.44140625" customWidth="1"/>
    <col min="32" max="32" width="13.109375" customWidth="1"/>
    <col min="33" max="33" width="1.5546875" customWidth="1"/>
    <col min="34" max="34" width="23.44140625" customWidth="1"/>
    <col min="35" max="35" width="7.44140625" customWidth="1"/>
    <col min="36" max="36" width="13.109375" customWidth="1"/>
  </cols>
  <sheetData>
    <row r="1" spans="2:36" ht="4.8" customHeight="1" x14ac:dyDescent="0.3"/>
    <row r="2" spans="2:36" ht="28.8" customHeight="1" x14ac:dyDescent="0.3">
      <c r="B2" s="35"/>
      <c r="C2" s="35"/>
      <c r="D2" s="35"/>
      <c r="F2" s="34" t="s">
        <v>36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</row>
    <row r="3" spans="2:36" ht="9" customHeight="1" x14ac:dyDescent="0.3">
      <c r="B3" s="23"/>
      <c r="C3" s="24"/>
      <c r="D3" s="25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</row>
    <row r="4" spans="2:36" ht="17.399999999999999" customHeight="1" x14ac:dyDescent="0.3">
      <c r="B4" s="33" t="s">
        <v>35</v>
      </c>
      <c r="C4" s="33"/>
      <c r="D4" s="33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</row>
    <row r="5" spans="2:36" ht="15.6" customHeight="1" x14ac:dyDescent="0.3">
      <c r="B5" s="1" t="s">
        <v>0</v>
      </c>
      <c r="C5" s="1"/>
      <c r="D5" s="16">
        <v>1000000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</row>
    <row r="6" spans="2:36" ht="15.6" customHeight="1" x14ac:dyDescent="0.3">
      <c r="B6" s="1" t="s">
        <v>19</v>
      </c>
      <c r="C6" s="1"/>
      <c r="D6" s="17">
        <f>-(D5*8.65%)+D5</f>
        <v>913500</v>
      </c>
      <c r="F6" s="32" t="s">
        <v>37</v>
      </c>
      <c r="G6" s="32"/>
      <c r="H6" s="32"/>
      <c r="I6" s="32"/>
      <c r="J6" s="3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</row>
    <row r="7" spans="2:36" ht="15.6" customHeight="1" x14ac:dyDescent="0.3">
      <c r="B7" s="1" t="s">
        <v>20</v>
      </c>
      <c r="C7" s="1"/>
      <c r="D7" s="17">
        <v>200000</v>
      </c>
      <c r="F7" s="32"/>
      <c r="G7" s="32"/>
      <c r="H7" s="32"/>
      <c r="I7" s="32"/>
      <c r="J7" s="3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</row>
    <row r="8" spans="2:36" ht="15.6" customHeight="1" x14ac:dyDescent="0.3">
      <c r="B8" s="1" t="s">
        <v>21</v>
      </c>
      <c r="C8" s="1"/>
      <c r="D8" s="17">
        <f>-(D7*8.65%)+D7</f>
        <v>182700</v>
      </c>
      <c r="F8" s="32"/>
      <c r="G8" s="32"/>
      <c r="H8" s="32"/>
      <c r="I8" s="32"/>
      <c r="J8" s="3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</row>
    <row r="9" spans="2:36" ht="7.2" customHeight="1" thickBot="1" x14ac:dyDescent="0.35">
      <c r="D9" s="15"/>
    </row>
    <row r="10" spans="2:36" ht="19.2" thickTop="1" thickBot="1" x14ac:dyDescent="0.4">
      <c r="B10" s="30" t="s">
        <v>11</v>
      </c>
      <c r="C10" s="30"/>
      <c r="D10" s="30"/>
      <c r="F10" s="30">
        <v>2026</v>
      </c>
      <c r="G10" s="30"/>
      <c r="H10" s="30"/>
      <c r="J10" s="30">
        <v>2027</v>
      </c>
      <c r="K10" s="30"/>
      <c r="L10" s="31"/>
      <c r="N10" s="30">
        <v>2028</v>
      </c>
      <c r="O10" s="30"/>
      <c r="P10" s="31"/>
      <c r="R10" s="30">
        <v>2029</v>
      </c>
      <c r="S10" s="30"/>
      <c r="T10" s="31"/>
      <c r="V10" s="30">
        <v>2030</v>
      </c>
      <c r="W10" s="30"/>
      <c r="X10" s="31"/>
      <c r="Z10" s="30">
        <v>2031</v>
      </c>
      <c r="AA10" s="30"/>
      <c r="AB10" s="31"/>
      <c r="AD10" s="30">
        <v>2032</v>
      </c>
      <c r="AE10" s="30"/>
      <c r="AF10" s="31"/>
      <c r="AH10" s="26">
        <v>2033</v>
      </c>
      <c r="AI10" s="27"/>
      <c r="AJ10" s="28"/>
    </row>
    <row r="11" spans="2:36" ht="15" thickTop="1" x14ac:dyDescent="0.3">
      <c r="D11" s="9"/>
      <c r="X11" s="11"/>
      <c r="AB11" s="11"/>
      <c r="AF11" s="11"/>
      <c r="AJ11" s="11"/>
    </row>
    <row r="12" spans="2:36" x14ac:dyDescent="0.3">
      <c r="B12" s="29" t="s">
        <v>0</v>
      </c>
      <c r="C12" s="29"/>
      <c r="D12" s="10">
        <v>1000000</v>
      </c>
      <c r="F12" s="29" t="s">
        <v>0</v>
      </c>
      <c r="G12" s="29"/>
      <c r="H12" s="10">
        <v>1000000</v>
      </c>
      <c r="J12" s="29" t="s">
        <v>0</v>
      </c>
      <c r="K12" s="29"/>
      <c r="L12" s="10">
        <v>1000000</v>
      </c>
      <c r="N12" s="29" t="s">
        <v>0</v>
      </c>
      <c r="O12" s="29"/>
      <c r="P12" s="10">
        <v>1000000</v>
      </c>
      <c r="R12" s="29" t="s">
        <v>0</v>
      </c>
      <c r="S12" s="29"/>
      <c r="T12" s="10">
        <v>1000000</v>
      </c>
      <c r="V12" s="29" t="s">
        <v>0</v>
      </c>
      <c r="W12" s="29"/>
      <c r="X12" s="10">
        <v>1000000</v>
      </c>
      <c r="Z12" s="29" t="s">
        <v>0</v>
      </c>
      <c r="AA12" s="29"/>
      <c r="AB12" s="10">
        <v>1000000</v>
      </c>
      <c r="AD12" s="29" t="s">
        <v>0</v>
      </c>
      <c r="AE12" s="29"/>
      <c r="AF12" s="10">
        <v>1000000</v>
      </c>
      <c r="AH12" s="29" t="s">
        <v>0</v>
      </c>
      <c r="AI12" s="29"/>
      <c r="AJ12" s="10">
        <v>1000000</v>
      </c>
    </row>
    <row r="13" spans="2:36" x14ac:dyDescent="0.3">
      <c r="B13" s="29" t="s">
        <v>22</v>
      </c>
      <c r="C13" s="29"/>
      <c r="D13" s="10">
        <v>200000</v>
      </c>
      <c r="F13" s="29" t="s">
        <v>22</v>
      </c>
      <c r="G13" s="29"/>
      <c r="H13" s="10">
        <v>200000</v>
      </c>
      <c r="J13" s="29" t="s">
        <v>22</v>
      </c>
      <c r="K13" s="29"/>
      <c r="L13" s="10">
        <v>200000</v>
      </c>
      <c r="N13" s="29" t="s">
        <v>22</v>
      </c>
      <c r="O13" s="29"/>
      <c r="P13" s="10">
        <v>200000</v>
      </c>
      <c r="R13" s="29" t="s">
        <v>22</v>
      </c>
      <c r="S13" s="29"/>
      <c r="T13" s="10">
        <v>200000</v>
      </c>
      <c r="V13" s="29" t="s">
        <v>22</v>
      </c>
      <c r="W13" s="29"/>
      <c r="X13" s="10">
        <v>200000</v>
      </c>
      <c r="Z13" s="29" t="s">
        <v>22</v>
      </c>
      <c r="AA13" s="29"/>
      <c r="AB13" s="10">
        <v>200000</v>
      </c>
      <c r="AD13" s="29" t="s">
        <v>22</v>
      </c>
      <c r="AE13" s="29"/>
      <c r="AF13" s="10">
        <v>200000</v>
      </c>
      <c r="AH13" s="29" t="s">
        <v>22</v>
      </c>
      <c r="AI13" s="29"/>
      <c r="AJ13" s="10">
        <v>200000</v>
      </c>
    </row>
    <row r="14" spans="2:36" x14ac:dyDescent="0.3">
      <c r="D14" s="9"/>
      <c r="H14" s="9"/>
      <c r="L14" s="9"/>
      <c r="P14" s="9"/>
      <c r="T14" s="9"/>
      <c r="X14" s="9"/>
      <c r="AB14" s="9"/>
      <c r="AF14" s="9"/>
      <c r="AJ14" s="9"/>
    </row>
    <row r="15" spans="2:36" x14ac:dyDescent="0.3">
      <c r="B15" s="1" t="s">
        <v>1</v>
      </c>
      <c r="C15" s="2">
        <v>0.05</v>
      </c>
      <c r="D15" s="9">
        <f>D12*C15</f>
        <v>50000</v>
      </c>
      <c r="F15" s="1" t="s">
        <v>1</v>
      </c>
      <c r="G15" s="2">
        <v>0.05</v>
      </c>
      <c r="H15" s="9">
        <f>H12*G15</f>
        <v>50000</v>
      </c>
      <c r="J15" s="1" t="s">
        <v>1</v>
      </c>
      <c r="K15" s="2">
        <v>0.05</v>
      </c>
      <c r="L15" s="9">
        <f>L12*K15</f>
        <v>50000</v>
      </c>
      <c r="N15" s="1" t="s">
        <v>1</v>
      </c>
      <c r="O15" s="2">
        <v>0.05</v>
      </c>
      <c r="P15" s="9">
        <f>P12*O15</f>
        <v>50000</v>
      </c>
      <c r="R15" s="4" t="s">
        <v>27</v>
      </c>
      <c r="S15" s="4"/>
      <c r="T15" s="5">
        <v>0.1</v>
      </c>
      <c r="V15" s="4" t="s">
        <v>27</v>
      </c>
      <c r="W15" s="4"/>
      <c r="X15" s="5">
        <v>0.2</v>
      </c>
      <c r="Z15" s="4" t="s">
        <v>27</v>
      </c>
      <c r="AA15" s="4"/>
      <c r="AB15" s="5">
        <v>0.3</v>
      </c>
      <c r="AD15" s="4" t="s">
        <v>27</v>
      </c>
      <c r="AE15" s="4"/>
      <c r="AF15" s="5">
        <v>0.4</v>
      </c>
      <c r="AH15" s="4" t="s">
        <v>27</v>
      </c>
      <c r="AI15" s="4"/>
      <c r="AJ15" s="5">
        <v>1</v>
      </c>
    </row>
    <row r="16" spans="2:36" x14ac:dyDescent="0.3">
      <c r="B16" s="1" t="s">
        <v>2</v>
      </c>
      <c r="C16" s="2">
        <v>0</v>
      </c>
      <c r="D16" s="12">
        <f>-D13*C16</f>
        <v>0</v>
      </c>
      <c r="F16" s="1" t="s">
        <v>2</v>
      </c>
      <c r="G16" s="2">
        <v>0</v>
      </c>
      <c r="H16" s="12">
        <f>-H13*G16</f>
        <v>0</v>
      </c>
      <c r="J16" s="1" t="s">
        <v>2</v>
      </c>
      <c r="K16" s="2">
        <v>0</v>
      </c>
      <c r="L16" s="12">
        <f>-L13*K16</f>
        <v>0</v>
      </c>
      <c r="N16" s="1" t="s">
        <v>2</v>
      </c>
      <c r="O16" s="2">
        <v>0</v>
      </c>
      <c r="P16" s="12">
        <f>-P13*O16</f>
        <v>0</v>
      </c>
      <c r="X16" s="11"/>
      <c r="AB16" s="11"/>
      <c r="AF16" s="11"/>
      <c r="AJ16" s="11"/>
    </row>
    <row r="17" spans="2:36" x14ac:dyDescent="0.3">
      <c r="B17" s="36" t="s">
        <v>3</v>
      </c>
      <c r="C17" s="36"/>
      <c r="D17" s="13">
        <f>SUM(D15:D16)</f>
        <v>50000</v>
      </c>
      <c r="F17" s="36" t="s">
        <v>3</v>
      </c>
      <c r="G17" s="36"/>
      <c r="H17" s="13">
        <f>SUM(H15:H16)</f>
        <v>50000</v>
      </c>
      <c r="J17" s="36" t="s">
        <v>3</v>
      </c>
      <c r="K17" s="36"/>
      <c r="L17" s="13">
        <f>SUM(L15:L16)</f>
        <v>50000</v>
      </c>
      <c r="N17" s="36" t="s">
        <v>3</v>
      </c>
      <c r="O17" s="36"/>
      <c r="P17" s="13">
        <f>SUM(P15:P16)</f>
        <v>50000</v>
      </c>
      <c r="R17" s="43" t="s">
        <v>1</v>
      </c>
      <c r="S17" s="44">
        <f>IF(T15=0,5%,-(5%*T15-5%))</f>
        <v>4.4999999999999998E-2</v>
      </c>
      <c r="T17" s="47">
        <f>T12*S17</f>
        <v>45000</v>
      </c>
      <c r="V17" s="43" t="s">
        <v>1</v>
      </c>
      <c r="W17" s="44">
        <f>IF(X15=0,5%,-(5%*X15-5%))</f>
        <v>0.04</v>
      </c>
      <c r="X17" s="47">
        <f>X12*W17</f>
        <v>40000</v>
      </c>
      <c r="Z17" s="43" t="s">
        <v>1</v>
      </c>
      <c r="AA17" s="44">
        <f>IF(AB15=0,5%,-(5%*AB15-5%))</f>
        <v>3.5000000000000003E-2</v>
      </c>
      <c r="AB17" s="47">
        <f>AB12*AA17</f>
        <v>35000</v>
      </c>
      <c r="AD17" s="43" t="s">
        <v>1</v>
      </c>
      <c r="AE17" s="44">
        <f>IF(AF15=0,5%,-(5%*AF15-5%))</f>
        <v>0.03</v>
      </c>
      <c r="AF17" s="47">
        <f>AF12*AE17</f>
        <v>30000</v>
      </c>
      <c r="AH17" s="1" t="s">
        <v>1</v>
      </c>
      <c r="AI17" s="2">
        <f>IF(AJ15=0,5%,-(5%*AJ15-5%))</f>
        <v>0</v>
      </c>
      <c r="AJ17" s="9">
        <f>AJ12*AI17</f>
        <v>0</v>
      </c>
    </row>
    <row r="18" spans="2:36" x14ac:dyDescent="0.3">
      <c r="D18" s="9"/>
      <c r="H18" s="9"/>
      <c r="L18" s="9"/>
      <c r="P18" s="9"/>
      <c r="R18" s="1" t="s">
        <v>2</v>
      </c>
      <c r="S18" s="2">
        <v>0</v>
      </c>
      <c r="T18" s="12">
        <f>-T13*S18</f>
        <v>0</v>
      </c>
      <c r="V18" s="1" t="s">
        <v>2</v>
      </c>
      <c r="W18" s="2">
        <v>0</v>
      </c>
      <c r="X18" s="12">
        <f>-X13*W18</f>
        <v>0</v>
      </c>
      <c r="Z18" s="1" t="s">
        <v>2</v>
      </c>
      <c r="AA18" s="2">
        <v>0</v>
      </c>
      <c r="AB18" s="12">
        <f>-AB13*AA18</f>
        <v>0</v>
      </c>
      <c r="AD18" s="1" t="s">
        <v>2</v>
      </c>
      <c r="AE18" s="2">
        <v>0</v>
      </c>
      <c r="AF18" s="12">
        <f>-AF13*AE18</f>
        <v>0</v>
      </c>
      <c r="AH18" s="1" t="s">
        <v>2</v>
      </c>
      <c r="AI18" s="2">
        <v>0</v>
      </c>
      <c r="AJ18" s="12">
        <f>-AJ13*AI18</f>
        <v>0</v>
      </c>
    </row>
    <row r="19" spans="2:36" x14ac:dyDescent="0.3">
      <c r="B19" s="1" t="s">
        <v>4</v>
      </c>
      <c r="C19" s="2">
        <v>6.4999999999999997E-3</v>
      </c>
      <c r="D19" s="9">
        <f>D12*C19</f>
        <v>6500</v>
      </c>
      <c r="F19" s="4" t="s">
        <v>19</v>
      </c>
      <c r="G19" s="4"/>
      <c r="H19" s="14">
        <f>D6</f>
        <v>913500</v>
      </c>
      <c r="J19" s="4" t="s">
        <v>19</v>
      </c>
      <c r="K19" s="4"/>
      <c r="L19" s="14">
        <f>D6</f>
        <v>913500</v>
      </c>
      <c r="N19" s="4" t="s">
        <v>19</v>
      </c>
      <c r="O19" s="4"/>
      <c r="P19" s="14">
        <f>D6</f>
        <v>913500</v>
      </c>
      <c r="R19" s="3" t="s">
        <v>3</v>
      </c>
      <c r="S19" s="3"/>
      <c r="T19" s="13">
        <f>SUM(T17:T18)</f>
        <v>45000</v>
      </c>
      <c r="V19" s="3" t="s">
        <v>3</v>
      </c>
      <c r="W19" s="3"/>
      <c r="X19" s="13">
        <f>SUM(X17:X18)</f>
        <v>40000</v>
      </c>
      <c r="Z19" s="3" t="s">
        <v>3</v>
      </c>
      <c r="AA19" s="3"/>
      <c r="AB19" s="13">
        <f>SUM(AB17:AB18)</f>
        <v>35000</v>
      </c>
      <c r="AD19" s="3" t="s">
        <v>3</v>
      </c>
      <c r="AE19" s="3"/>
      <c r="AF19" s="13">
        <f>SUM(AF17:AF18)</f>
        <v>30000</v>
      </c>
      <c r="AH19" s="3" t="s">
        <v>3</v>
      </c>
      <c r="AI19" s="3"/>
      <c r="AJ19" s="13">
        <f>SUM(AJ17:AJ18)</f>
        <v>0</v>
      </c>
    </row>
    <row r="20" spans="2:36" x14ac:dyDescent="0.3">
      <c r="B20" s="1" t="s">
        <v>5</v>
      </c>
      <c r="C20" s="2">
        <v>0</v>
      </c>
      <c r="D20" s="12">
        <f>-D13*C20</f>
        <v>0</v>
      </c>
      <c r="E20" s="18"/>
      <c r="T20" s="9"/>
      <c r="X20" s="9"/>
      <c r="AB20" s="9"/>
      <c r="AF20" s="9"/>
      <c r="AJ20" s="9"/>
    </row>
    <row r="21" spans="2:36" x14ac:dyDescent="0.3">
      <c r="B21" s="36" t="s">
        <v>6</v>
      </c>
      <c r="C21" s="36"/>
      <c r="D21" s="13">
        <f>SUM(D19:D20)</f>
        <v>6500</v>
      </c>
      <c r="F21" s="1" t="s">
        <v>4</v>
      </c>
      <c r="G21" s="44">
        <v>6.4999999999999997E-3</v>
      </c>
      <c r="H21" s="9">
        <f>H12*G21</f>
        <v>6500</v>
      </c>
      <c r="J21" s="4" t="s">
        <v>24</v>
      </c>
      <c r="K21" s="4"/>
      <c r="L21" s="14">
        <f>D8</f>
        <v>182700</v>
      </c>
      <c r="N21" s="4" t="s">
        <v>24</v>
      </c>
      <c r="O21" s="4"/>
      <c r="P21" s="14">
        <f>D8</f>
        <v>182700</v>
      </c>
      <c r="R21" s="4" t="s">
        <v>19</v>
      </c>
      <c r="S21" s="4"/>
      <c r="T21" s="14">
        <f>$D$6</f>
        <v>913500</v>
      </c>
      <c r="V21" s="4" t="s">
        <v>19</v>
      </c>
      <c r="W21" s="4"/>
      <c r="X21" s="14">
        <f>$D$6</f>
        <v>913500</v>
      </c>
      <c r="Z21" s="4" t="s">
        <v>19</v>
      </c>
      <c r="AA21" s="4"/>
      <c r="AB21" s="14">
        <f>$D$6</f>
        <v>913500</v>
      </c>
      <c r="AD21" s="4" t="s">
        <v>19</v>
      </c>
      <c r="AE21" s="4"/>
      <c r="AF21" s="14">
        <f>$D$6</f>
        <v>913500</v>
      </c>
      <c r="AH21" s="4" t="s">
        <v>19</v>
      </c>
      <c r="AI21" s="4"/>
      <c r="AJ21" s="14">
        <f>$D$6</f>
        <v>913500</v>
      </c>
    </row>
    <row r="22" spans="2:36" x14ac:dyDescent="0.3">
      <c r="D22" s="9"/>
      <c r="F22" s="1" t="s">
        <v>5</v>
      </c>
      <c r="G22" s="2">
        <v>0</v>
      </c>
      <c r="H22" s="12">
        <f>-H13*G22</f>
        <v>0</v>
      </c>
      <c r="X22" s="11"/>
      <c r="AB22" s="11"/>
      <c r="AF22" s="11"/>
      <c r="AJ22" s="11"/>
    </row>
    <row r="23" spans="2:36" x14ac:dyDescent="0.3">
      <c r="B23" s="1" t="s">
        <v>7</v>
      </c>
      <c r="C23" s="2">
        <v>0.03</v>
      </c>
      <c r="D23" s="9">
        <f>D12*C23</f>
        <v>30000</v>
      </c>
      <c r="F23" s="3" t="s">
        <v>6</v>
      </c>
      <c r="G23" s="3"/>
      <c r="H23" s="13">
        <f>SUM(H21:H22)</f>
        <v>6500</v>
      </c>
      <c r="J23" s="4" t="s">
        <v>23</v>
      </c>
      <c r="K23" s="4"/>
      <c r="L23" s="5">
        <f>$H$29</f>
        <v>0</v>
      </c>
      <c r="N23" s="4" t="s">
        <v>23</v>
      </c>
      <c r="O23" s="4"/>
      <c r="P23" s="5">
        <f>$L$23</f>
        <v>0</v>
      </c>
      <c r="R23" s="4" t="s">
        <v>24</v>
      </c>
      <c r="S23" s="4"/>
      <c r="T23" s="14">
        <f>$D$8</f>
        <v>182700</v>
      </c>
      <c r="V23" s="4" t="s">
        <v>24</v>
      </c>
      <c r="W23" s="4"/>
      <c r="X23" s="14">
        <f>$D$8</f>
        <v>182700</v>
      </c>
      <c r="Z23" s="4" t="s">
        <v>24</v>
      </c>
      <c r="AA23" s="4"/>
      <c r="AB23" s="14">
        <f>$D$8</f>
        <v>182700</v>
      </c>
      <c r="AD23" s="4" t="s">
        <v>24</v>
      </c>
      <c r="AE23" s="4"/>
      <c r="AF23" s="14">
        <f>$D$8</f>
        <v>182700</v>
      </c>
      <c r="AH23" s="4" t="s">
        <v>24</v>
      </c>
      <c r="AI23" s="4"/>
      <c r="AJ23" s="14">
        <f>$D$8</f>
        <v>182700</v>
      </c>
    </row>
    <row r="24" spans="2:36" x14ac:dyDescent="0.3">
      <c r="B24" s="1" t="s">
        <v>8</v>
      </c>
      <c r="C24" s="2">
        <v>0</v>
      </c>
      <c r="D24" s="12">
        <f>-D13*C24</f>
        <v>0</v>
      </c>
      <c r="H24" s="9"/>
      <c r="X24" s="11"/>
      <c r="AB24" s="11"/>
      <c r="AF24" s="11"/>
      <c r="AJ24" s="11"/>
    </row>
    <row r="25" spans="2:36" x14ac:dyDescent="0.3">
      <c r="B25" s="36" t="s">
        <v>9</v>
      </c>
      <c r="C25" s="36"/>
      <c r="D25" s="13">
        <f>SUM(D23:D24)</f>
        <v>30000</v>
      </c>
      <c r="F25" s="1" t="s">
        <v>7</v>
      </c>
      <c r="G25" s="44">
        <v>0.03</v>
      </c>
      <c r="H25" s="9">
        <f>H12*G25</f>
        <v>30000</v>
      </c>
      <c r="J25" s="1" t="s">
        <v>16</v>
      </c>
      <c r="K25" s="2">
        <f>IF(L23=0,10%,-(10%*L23-10%))</f>
        <v>0.1</v>
      </c>
      <c r="L25" s="9">
        <f>L19*K25</f>
        <v>91350</v>
      </c>
      <c r="N25" s="1" t="s">
        <v>16</v>
      </c>
      <c r="O25" s="2">
        <f>IF(P23=0,10%,-(10%*P23-10%))</f>
        <v>0.1</v>
      </c>
      <c r="P25" s="9">
        <f>P19*O25</f>
        <v>91350</v>
      </c>
      <c r="R25" s="4" t="s">
        <v>23</v>
      </c>
      <c r="S25" s="4"/>
      <c r="T25" s="5">
        <f>$L$23</f>
        <v>0</v>
      </c>
      <c r="V25" s="4" t="s">
        <v>23</v>
      </c>
      <c r="W25" s="4"/>
      <c r="X25" s="5">
        <f>$L$23</f>
        <v>0</v>
      </c>
      <c r="Z25" s="4" t="s">
        <v>23</v>
      </c>
      <c r="AA25" s="4"/>
      <c r="AB25" s="5">
        <f>$L$23</f>
        <v>0</v>
      </c>
      <c r="AD25" s="4" t="s">
        <v>23</v>
      </c>
      <c r="AE25" s="4"/>
      <c r="AF25" s="5">
        <f>$L$23</f>
        <v>0</v>
      </c>
      <c r="AH25" s="4" t="s">
        <v>23</v>
      </c>
      <c r="AI25" s="4"/>
      <c r="AJ25" s="5">
        <f>$L$23</f>
        <v>0</v>
      </c>
    </row>
    <row r="26" spans="2:36" x14ac:dyDescent="0.3">
      <c r="D26" s="9"/>
      <c r="F26" s="1" t="s">
        <v>8</v>
      </c>
      <c r="G26" s="2">
        <v>0</v>
      </c>
      <c r="H26" s="12">
        <f>-H13*G26</f>
        <v>0</v>
      </c>
      <c r="J26" s="43" t="s">
        <v>17</v>
      </c>
      <c r="K26" s="44">
        <v>0.1</v>
      </c>
      <c r="L26" s="45">
        <f>-L21*K26</f>
        <v>-18270</v>
      </c>
      <c r="N26" s="43" t="s">
        <v>17</v>
      </c>
      <c r="O26" s="44">
        <v>0.1</v>
      </c>
      <c r="P26" s="45">
        <f>-P21*O26</f>
        <v>-18270</v>
      </c>
      <c r="X26" s="11"/>
      <c r="AB26" s="11"/>
      <c r="AF26" s="11"/>
      <c r="AJ26" s="11"/>
    </row>
    <row r="27" spans="2:36" x14ac:dyDescent="0.3">
      <c r="B27" s="36" t="s">
        <v>10</v>
      </c>
      <c r="C27" s="36"/>
      <c r="D27" s="13">
        <f>D17+D21+D25</f>
        <v>86500</v>
      </c>
      <c r="F27" s="3" t="s">
        <v>9</v>
      </c>
      <c r="G27" s="3"/>
      <c r="H27" s="13">
        <f>SUM(H25:H26)</f>
        <v>30000</v>
      </c>
      <c r="J27" s="3" t="s">
        <v>18</v>
      </c>
      <c r="K27" s="3"/>
      <c r="L27" s="13">
        <f>SUM(L25:L26)</f>
        <v>73080</v>
      </c>
      <c r="N27" s="3" t="s">
        <v>18</v>
      </c>
      <c r="O27" s="3"/>
      <c r="P27" s="13">
        <f>SUM(P25:P26)</f>
        <v>73080</v>
      </c>
      <c r="R27" s="1" t="s">
        <v>16</v>
      </c>
      <c r="S27" s="2">
        <f>IF(T25=0,10%,-(10%*T25-10%))</f>
        <v>0.1</v>
      </c>
      <c r="T27" s="9">
        <f>T21*S27</f>
        <v>91350</v>
      </c>
      <c r="V27" s="1" t="s">
        <v>16</v>
      </c>
      <c r="W27" s="2">
        <f>IF(X25=0,10%,-(10%*X25-10%))</f>
        <v>0.1</v>
      </c>
      <c r="X27" s="9">
        <f>X21*W27</f>
        <v>91350</v>
      </c>
      <c r="Z27" s="1" t="s">
        <v>16</v>
      </c>
      <c r="AA27" s="2">
        <f>IF(AB25=0,10%,-(10%*AB25-10%))</f>
        <v>0.1</v>
      </c>
      <c r="AB27" s="9">
        <f>AB21*AA27</f>
        <v>91350</v>
      </c>
      <c r="AD27" s="1" t="s">
        <v>16</v>
      </c>
      <c r="AE27" s="2">
        <f>IF(AF25=0,10%,-(10%*AF25-10%))</f>
        <v>0.1</v>
      </c>
      <c r="AF27" s="9">
        <f>AF21*AE27</f>
        <v>91350</v>
      </c>
      <c r="AH27" s="1" t="s">
        <v>16</v>
      </c>
      <c r="AI27" s="2">
        <f>IF(AJ25=0,10%,-(10%*AJ25-10%))</f>
        <v>0.1</v>
      </c>
      <c r="AJ27" s="9">
        <f>AJ21*AI27</f>
        <v>91350</v>
      </c>
    </row>
    <row r="28" spans="2:36" x14ac:dyDescent="0.3">
      <c r="H28" s="9"/>
      <c r="J28" s="1"/>
      <c r="K28" s="2"/>
      <c r="L28" s="12"/>
      <c r="N28" s="1"/>
      <c r="O28" s="2"/>
      <c r="P28" s="12"/>
      <c r="R28" s="1" t="s">
        <v>17</v>
      </c>
      <c r="S28" s="2">
        <v>0.1</v>
      </c>
      <c r="T28" s="12">
        <f>-T23*S28</f>
        <v>-18270</v>
      </c>
      <c r="V28" s="1" t="s">
        <v>17</v>
      </c>
      <c r="W28" s="2">
        <v>0.1</v>
      </c>
      <c r="X28" s="12">
        <f>-X23*W28</f>
        <v>-18270</v>
      </c>
      <c r="Z28" s="1" t="s">
        <v>17</v>
      </c>
      <c r="AA28" s="2">
        <v>0.1</v>
      </c>
      <c r="AB28" s="12">
        <f>-AB23*AA28</f>
        <v>-18270</v>
      </c>
      <c r="AD28" s="1" t="s">
        <v>17</v>
      </c>
      <c r="AE28" s="2">
        <v>0.1</v>
      </c>
      <c r="AF28" s="12">
        <f>-AF23*AE28</f>
        <v>-18270</v>
      </c>
      <c r="AH28" s="1" t="s">
        <v>17</v>
      </c>
      <c r="AI28" s="2">
        <v>0.1</v>
      </c>
      <c r="AJ28" s="12">
        <f>-AJ23*AI28</f>
        <v>-18270</v>
      </c>
    </row>
    <row r="29" spans="2:36" x14ac:dyDescent="0.3">
      <c r="B29" s="6" t="s">
        <v>26</v>
      </c>
      <c r="C29" s="7">
        <f>C15+C19+C23</f>
        <v>8.6499999999999994E-2</v>
      </c>
      <c r="F29" s="4" t="s">
        <v>23</v>
      </c>
      <c r="G29" s="4"/>
      <c r="H29" s="5">
        <v>0</v>
      </c>
      <c r="J29" s="1" t="s">
        <v>28</v>
      </c>
      <c r="K29" s="2">
        <f>IF(L23=0,0.1%,-(0.1%*L23-0.1%))</f>
        <v>1E-3</v>
      </c>
      <c r="L29" s="9">
        <f>L19*K29</f>
        <v>913.5</v>
      </c>
      <c r="N29" s="1" t="s">
        <v>28</v>
      </c>
      <c r="O29" s="2">
        <f>IF(P23=0,0.1%,-(0.1%*P23-0.1%))</f>
        <v>1E-3</v>
      </c>
      <c r="P29" s="9">
        <f>P19*O29</f>
        <v>913.5</v>
      </c>
      <c r="R29" s="3" t="s">
        <v>18</v>
      </c>
      <c r="S29" s="3"/>
      <c r="T29" s="13">
        <f>SUM(T27:T28)</f>
        <v>73080</v>
      </c>
      <c r="V29" s="3" t="s">
        <v>18</v>
      </c>
      <c r="W29" s="3"/>
      <c r="X29" s="13">
        <f>SUM(X27:X28)</f>
        <v>73080</v>
      </c>
      <c r="Z29" s="3" t="s">
        <v>18</v>
      </c>
      <c r="AA29" s="3"/>
      <c r="AB29" s="13">
        <f>SUM(AB27:AB28)</f>
        <v>73080</v>
      </c>
      <c r="AD29" s="3" t="s">
        <v>18</v>
      </c>
      <c r="AE29" s="3"/>
      <c r="AF29" s="13">
        <f>SUM(AF27:AF28)</f>
        <v>73080</v>
      </c>
      <c r="AH29" s="3" t="s">
        <v>18</v>
      </c>
      <c r="AI29" s="3"/>
      <c r="AJ29" s="13">
        <f>SUM(AJ27:AJ28)</f>
        <v>73080</v>
      </c>
    </row>
    <row r="30" spans="2:36" x14ac:dyDescent="0.3">
      <c r="J30" s="43" t="s">
        <v>31</v>
      </c>
      <c r="K30" s="44">
        <v>1E-3</v>
      </c>
      <c r="L30" s="46">
        <f>-L21*K30</f>
        <v>-182.70000000000002</v>
      </c>
      <c r="N30" s="43" t="s">
        <v>31</v>
      </c>
      <c r="O30" s="44">
        <v>1E-3</v>
      </c>
      <c r="P30" s="47">
        <f>-P21*O30</f>
        <v>-182.70000000000002</v>
      </c>
      <c r="R30" s="1"/>
      <c r="S30" s="2"/>
      <c r="T30" s="12"/>
      <c r="V30" s="1"/>
      <c r="W30" s="2"/>
      <c r="X30" s="12"/>
      <c r="Z30" s="1"/>
      <c r="AA30" s="2"/>
      <c r="AB30" s="12"/>
      <c r="AD30" s="1"/>
      <c r="AE30" s="2"/>
      <c r="AF30" s="12"/>
      <c r="AH30" s="1"/>
      <c r="AI30" s="2"/>
      <c r="AJ30" s="12"/>
    </row>
    <row r="31" spans="2:36" x14ac:dyDescent="0.3">
      <c r="F31" s="1" t="s">
        <v>12</v>
      </c>
      <c r="G31" s="2">
        <f>IF(H29=0,0.1%,-(0.1%*H29-0.1%))</f>
        <v>1E-3</v>
      </c>
      <c r="H31" s="12">
        <f>-H19*G31</f>
        <v>-913.5</v>
      </c>
      <c r="J31" s="3" t="s">
        <v>25</v>
      </c>
      <c r="K31" s="3"/>
      <c r="L31" s="13">
        <f>SUM(L29:L30)</f>
        <v>730.8</v>
      </c>
      <c r="N31" s="3" t="s">
        <v>25</v>
      </c>
      <c r="O31" s="3"/>
      <c r="P31" s="13">
        <f>SUM(P29:P30)</f>
        <v>730.8</v>
      </c>
      <c r="R31" s="4" t="s">
        <v>27</v>
      </c>
      <c r="S31" s="4"/>
      <c r="T31" s="5">
        <v>0.9</v>
      </c>
      <c r="V31" s="4" t="s">
        <v>27</v>
      </c>
      <c r="W31" s="4"/>
      <c r="X31" s="5">
        <v>0.8</v>
      </c>
      <c r="Z31" s="4" t="s">
        <v>27</v>
      </c>
      <c r="AA31" s="4"/>
      <c r="AB31" s="5">
        <v>0.7</v>
      </c>
      <c r="AD31" s="4" t="s">
        <v>27</v>
      </c>
      <c r="AE31" s="4"/>
      <c r="AF31" s="5">
        <v>0.6</v>
      </c>
      <c r="AH31" s="1" t="s">
        <v>28</v>
      </c>
      <c r="AI31" s="2">
        <f>IF(AJ25=0,18%,-(18%*AJ25-18%))</f>
        <v>0.18</v>
      </c>
      <c r="AJ31" s="9">
        <f>AJ21*AI31</f>
        <v>164430</v>
      </c>
    </row>
    <row r="32" spans="2:36" x14ac:dyDescent="0.3">
      <c r="F32" s="1" t="s">
        <v>13</v>
      </c>
      <c r="G32" s="2">
        <f>IF(H29=0,0.9%,-(0.9%*H29-0.9%))</f>
        <v>9.0000000000000011E-3</v>
      </c>
      <c r="H32" s="12">
        <f>-H19*G32</f>
        <v>-8221.5000000000018</v>
      </c>
      <c r="X32" s="11"/>
      <c r="AB32" s="11"/>
      <c r="AF32" s="11"/>
      <c r="AH32" s="1" t="s">
        <v>29</v>
      </c>
      <c r="AI32" s="2">
        <v>0.18</v>
      </c>
      <c r="AJ32" s="12">
        <f>-AJ23*AI32</f>
        <v>-32886</v>
      </c>
    </row>
    <row r="33" spans="6:36" x14ac:dyDescent="0.3">
      <c r="F33" s="3" t="s">
        <v>14</v>
      </c>
      <c r="G33" s="3"/>
      <c r="H33" s="13">
        <f>SUM(H31:H32)</f>
        <v>-9135.0000000000018</v>
      </c>
      <c r="J33" s="3" t="s">
        <v>10</v>
      </c>
      <c r="K33" s="3"/>
      <c r="L33" s="13">
        <f>+L17+L27+L31</f>
        <v>123810.8</v>
      </c>
      <c r="N33" s="3" t="s">
        <v>10</v>
      </c>
      <c r="O33" s="3"/>
      <c r="P33" s="13">
        <f>+P17+P27+P31</f>
        <v>123810.8</v>
      </c>
      <c r="R33" s="4" t="s">
        <v>38</v>
      </c>
      <c r="S33" s="4"/>
      <c r="T33" s="21">
        <f>IF(T31=0,18%,-(18%*T31-18%))</f>
        <v>1.7999999999999988E-2</v>
      </c>
      <c r="V33" s="4" t="s">
        <v>38</v>
      </c>
      <c r="W33" s="4"/>
      <c r="X33" s="21">
        <f>IF(X31=0,18%,-(18%*X31-18%))</f>
        <v>3.6000000000000004E-2</v>
      </c>
      <c r="Z33" s="4" t="s">
        <v>38</v>
      </c>
      <c r="AA33" s="4"/>
      <c r="AB33" s="21">
        <f>IF(AB31=0,18%,-(18%*AB31-18%))</f>
        <v>5.3999999999999992E-2</v>
      </c>
      <c r="AD33" s="4" t="s">
        <v>38</v>
      </c>
      <c r="AE33" s="4"/>
      <c r="AF33" s="21">
        <f>IF(AF31=0,18%,-(18%*AF31-18%))</f>
        <v>7.1999999999999995E-2</v>
      </c>
      <c r="AH33" s="3" t="s">
        <v>30</v>
      </c>
      <c r="AI33" s="3"/>
      <c r="AJ33" s="13">
        <f>SUM(AJ31:AJ32)</f>
        <v>131544</v>
      </c>
    </row>
    <row r="34" spans="6:36" x14ac:dyDescent="0.3">
      <c r="AJ34" s="11"/>
    </row>
    <row r="35" spans="6:36" x14ac:dyDescent="0.3">
      <c r="F35" s="38" t="s">
        <v>12</v>
      </c>
      <c r="G35" s="39">
        <f>G31</f>
        <v>1E-3</v>
      </c>
      <c r="H35" s="40">
        <f>-H31</f>
        <v>913.5</v>
      </c>
      <c r="J35" s="6" t="s">
        <v>26</v>
      </c>
      <c r="K35" s="7">
        <f>K15+K25+K29</f>
        <v>0.15100000000000002</v>
      </c>
      <c r="N35" s="6" t="s">
        <v>26</v>
      </c>
      <c r="O35" s="7">
        <f>O15+O25+O29</f>
        <v>0.15100000000000002</v>
      </c>
      <c r="R35" s="1" t="s">
        <v>33</v>
      </c>
      <c r="S35" s="2">
        <f>IF(T25=0,T33,-(T33*T25-T33))</f>
        <v>1.7999999999999988E-2</v>
      </c>
      <c r="T35" s="9">
        <f>T21*S35</f>
        <v>16442.999999999989</v>
      </c>
      <c r="V35" s="1" t="s">
        <v>33</v>
      </c>
      <c r="W35" s="2">
        <f>IF(X25=0,X33,-(X33*X25-X33))</f>
        <v>3.6000000000000004E-2</v>
      </c>
      <c r="X35" s="9">
        <f>X21*W35</f>
        <v>32886.000000000007</v>
      </c>
      <c r="Z35" s="1" t="s">
        <v>33</v>
      </c>
      <c r="AA35" s="2">
        <f>IF(AB25=0,AB33,-(AB33*AB25-AB33))</f>
        <v>5.3999999999999992E-2</v>
      </c>
      <c r="AB35" s="9">
        <f>AB21*AA35</f>
        <v>49328.999999999993</v>
      </c>
      <c r="AD35" s="1" t="s">
        <v>33</v>
      </c>
      <c r="AE35" s="2">
        <f>IF(AF25=0,AF33,-(AF33*AF25-AF33))</f>
        <v>7.1999999999999995E-2</v>
      </c>
      <c r="AF35" s="9">
        <f>AF21*AE35</f>
        <v>65772</v>
      </c>
      <c r="AH35" s="3" t="s">
        <v>10</v>
      </c>
      <c r="AI35" s="3"/>
      <c r="AJ35" s="13">
        <f>+AJ19+AJ29+AJ33</f>
        <v>204624</v>
      </c>
    </row>
    <row r="36" spans="6:36" x14ac:dyDescent="0.3">
      <c r="F36" s="38" t="s">
        <v>13</v>
      </c>
      <c r="G36" s="39">
        <f>G32</f>
        <v>9.0000000000000011E-3</v>
      </c>
      <c r="H36" s="40">
        <f>-H32</f>
        <v>8221.5000000000018</v>
      </c>
      <c r="J36" s="8" t="s">
        <v>32</v>
      </c>
      <c r="N36" s="8" t="s">
        <v>32</v>
      </c>
      <c r="R36" s="1" t="s">
        <v>31</v>
      </c>
      <c r="S36" s="2">
        <f>T33</f>
        <v>1.7999999999999988E-2</v>
      </c>
      <c r="T36" s="12">
        <f>-T23*S36</f>
        <v>-3288.5999999999976</v>
      </c>
      <c r="V36" s="1" t="s">
        <v>31</v>
      </c>
      <c r="W36" s="2">
        <f>X33</f>
        <v>3.6000000000000004E-2</v>
      </c>
      <c r="X36" s="12">
        <f>-X23*W36</f>
        <v>-6577.2000000000007</v>
      </c>
      <c r="Z36" s="1" t="s">
        <v>31</v>
      </c>
      <c r="AA36" s="2">
        <f>AB33</f>
        <v>5.3999999999999992E-2</v>
      </c>
      <c r="AB36" s="12">
        <f>-AB23*AA36</f>
        <v>-9865.7999999999993</v>
      </c>
      <c r="AD36" s="1" t="s">
        <v>31</v>
      </c>
      <c r="AE36" s="2">
        <f>AF33</f>
        <v>7.1999999999999995E-2</v>
      </c>
      <c r="AF36" s="12">
        <f>-AF23*AE36</f>
        <v>-13154.4</v>
      </c>
      <c r="AJ36" s="11"/>
    </row>
    <row r="37" spans="6:36" x14ac:dyDescent="0.3">
      <c r="F37" s="41" t="s">
        <v>15</v>
      </c>
      <c r="G37" s="41"/>
      <c r="H37" s="42">
        <f>SUM(H35:H36)</f>
        <v>9135.0000000000018</v>
      </c>
      <c r="R37" s="3" t="s">
        <v>30</v>
      </c>
      <c r="S37" s="3"/>
      <c r="T37" s="13">
        <f>SUM(T35:T36)</f>
        <v>13154.399999999991</v>
      </c>
      <c r="V37" s="3" t="s">
        <v>30</v>
      </c>
      <c r="W37" s="3"/>
      <c r="X37" s="13">
        <f>SUM(X35:X36)</f>
        <v>26308.800000000007</v>
      </c>
      <c r="Z37" s="3" t="s">
        <v>30</v>
      </c>
      <c r="AA37" s="3"/>
      <c r="AB37" s="13">
        <f>SUM(AB35:AB36)</f>
        <v>39463.199999999997</v>
      </c>
      <c r="AD37" s="3" t="s">
        <v>30</v>
      </c>
      <c r="AE37" s="3"/>
      <c r="AF37" s="13">
        <f>SUM(AF35:AF36)</f>
        <v>52617.599999999999</v>
      </c>
      <c r="AH37" s="6" t="s">
        <v>26</v>
      </c>
      <c r="AI37" s="7">
        <f>AI17+AI27+AI31</f>
        <v>0.28000000000000003</v>
      </c>
      <c r="AJ37" s="11"/>
    </row>
    <row r="38" spans="6:36" x14ac:dyDescent="0.3">
      <c r="X38" s="11"/>
      <c r="AB38" s="11"/>
      <c r="AF38" s="11"/>
      <c r="AI38" s="20">
        <f>C29</f>
        <v>8.6499999999999994E-2</v>
      </c>
      <c r="AJ38" s="11">
        <f>D27</f>
        <v>86500</v>
      </c>
    </row>
    <row r="39" spans="6:36" x14ac:dyDescent="0.3">
      <c r="F39" s="3" t="s">
        <v>10</v>
      </c>
      <c r="G39" s="3"/>
      <c r="H39" s="13">
        <f>H17+H23+H27+H33+H37</f>
        <v>86500</v>
      </c>
      <c r="R39" s="3" t="s">
        <v>10</v>
      </c>
      <c r="S39" s="3"/>
      <c r="T39" s="13">
        <f>+T19+T29+T37</f>
        <v>131234.4</v>
      </c>
      <c r="V39" s="3" t="s">
        <v>10</v>
      </c>
      <c r="W39" s="3"/>
      <c r="X39" s="13">
        <f>+X19+X29+X37</f>
        <v>139388.80000000002</v>
      </c>
      <c r="Z39" s="3" t="s">
        <v>10</v>
      </c>
      <c r="AA39" s="3"/>
      <c r="AB39" s="13">
        <f>+AB19+AB29+AB37</f>
        <v>147543.20000000001</v>
      </c>
      <c r="AD39" s="3" t="s">
        <v>10</v>
      </c>
      <c r="AE39" s="3"/>
      <c r="AF39" s="13">
        <f>+AF19+AF29+AF37</f>
        <v>155697.60000000001</v>
      </c>
      <c r="AI39" s="20">
        <f>AI37-AI38</f>
        <v>0.19350000000000003</v>
      </c>
      <c r="AJ39" s="11">
        <f>AJ35-AJ38</f>
        <v>118124</v>
      </c>
    </row>
    <row r="40" spans="6:36" x14ac:dyDescent="0.3">
      <c r="X40" s="11"/>
      <c r="AB40" s="11"/>
      <c r="AF40" s="11"/>
      <c r="AH40" s="8"/>
      <c r="AJ40" s="11"/>
    </row>
    <row r="41" spans="6:36" ht="14.4" customHeight="1" x14ac:dyDescent="0.3">
      <c r="F41" s="6" t="s">
        <v>26</v>
      </c>
      <c r="G41" s="7">
        <f>G15+G21+G25</f>
        <v>8.6499999999999994E-2</v>
      </c>
      <c r="R41" s="6" t="s">
        <v>26</v>
      </c>
      <c r="S41" s="7">
        <f>S17+S27+S35</f>
        <v>0.16300000000000001</v>
      </c>
      <c r="V41" s="6" t="s">
        <v>26</v>
      </c>
      <c r="W41" s="7">
        <f>W17+W27+W35</f>
        <v>0.17600000000000002</v>
      </c>
      <c r="X41" s="11"/>
      <c r="Z41" s="6" t="s">
        <v>26</v>
      </c>
      <c r="AA41" s="7">
        <f>AA17+AA27+AA35</f>
        <v>0.189</v>
      </c>
      <c r="AB41" s="11"/>
      <c r="AD41" s="6" t="s">
        <v>26</v>
      </c>
      <c r="AE41" s="7">
        <f>AE17+AE27+AE35</f>
        <v>0.20200000000000001</v>
      </c>
      <c r="AF41" s="11"/>
      <c r="AJ41" s="11"/>
    </row>
    <row r="42" spans="6:36" x14ac:dyDescent="0.3">
      <c r="R42" s="8" t="s">
        <v>32</v>
      </c>
      <c r="V42" s="8" t="s">
        <v>32</v>
      </c>
      <c r="X42" s="11"/>
      <c r="Z42" s="8" t="s">
        <v>32</v>
      </c>
      <c r="AB42" s="11"/>
      <c r="AD42" s="8" t="s">
        <v>32</v>
      </c>
      <c r="AF42" s="11"/>
    </row>
    <row r="43" spans="6:36" ht="34.799999999999997" customHeight="1" x14ac:dyDescent="0.3">
      <c r="R43" s="37" t="s">
        <v>34</v>
      </c>
      <c r="S43" s="37"/>
      <c r="T43" s="37"/>
      <c r="V43" s="37" t="s">
        <v>34</v>
      </c>
      <c r="W43" s="37"/>
      <c r="X43" s="37"/>
      <c r="Z43" s="37" t="s">
        <v>34</v>
      </c>
      <c r="AA43" s="37"/>
      <c r="AB43" s="37"/>
      <c r="AD43" s="37" t="s">
        <v>34</v>
      </c>
      <c r="AE43" s="37"/>
      <c r="AF43" s="37"/>
    </row>
    <row r="44" spans="6:36" x14ac:dyDescent="0.3">
      <c r="R44" s="19"/>
      <c r="S44" s="19"/>
      <c r="T44" s="19"/>
      <c r="V44" s="19"/>
      <c r="W44" s="19"/>
      <c r="X44" s="19"/>
      <c r="Z44" s="19"/>
      <c r="AA44" s="19"/>
      <c r="AB44" s="19"/>
      <c r="AD44" s="19"/>
      <c r="AE44" s="19"/>
      <c r="AF44" s="19"/>
    </row>
    <row r="47" spans="6:36" x14ac:dyDescent="0.3">
      <c r="S47" s="20"/>
    </row>
    <row r="48" spans="6:36" x14ac:dyDescent="0.3">
      <c r="S48" s="20"/>
    </row>
  </sheetData>
  <mergeCells count="42">
    <mergeCell ref="R43:T43"/>
    <mergeCell ref="V43:X43"/>
    <mergeCell ref="Z43:AB43"/>
    <mergeCell ref="AD43:AF43"/>
    <mergeCell ref="J10:L10"/>
    <mergeCell ref="J12:K12"/>
    <mergeCell ref="J13:K13"/>
    <mergeCell ref="J17:K17"/>
    <mergeCell ref="N13:O13"/>
    <mergeCell ref="N17:O17"/>
    <mergeCell ref="R10:T10"/>
    <mergeCell ref="R12:S12"/>
    <mergeCell ref="R13:S13"/>
    <mergeCell ref="V10:X10"/>
    <mergeCell ref="V12:W12"/>
    <mergeCell ref="Z10:AB10"/>
    <mergeCell ref="B4:D4"/>
    <mergeCell ref="F2:AJ5"/>
    <mergeCell ref="B2:D2"/>
    <mergeCell ref="B27:C27"/>
    <mergeCell ref="B10:D10"/>
    <mergeCell ref="F10:H10"/>
    <mergeCell ref="F12:G12"/>
    <mergeCell ref="F13:G13"/>
    <mergeCell ref="F17:G17"/>
    <mergeCell ref="B12:C12"/>
    <mergeCell ref="B13:C13"/>
    <mergeCell ref="B17:C17"/>
    <mergeCell ref="B21:C21"/>
    <mergeCell ref="B25:C25"/>
    <mergeCell ref="AH13:AI13"/>
    <mergeCell ref="AD13:AE13"/>
    <mergeCell ref="Z13:AA13"/>
    <mergeCell ref="V13:W13"/>
    <mergeCell ref="F6:J8"/>
    <mergeCell ref="AD10:AF10"/>
    <mergeCell ref="AD12:AE12"/>
    <mergeCell ref="AH10:AJ10"/>
    <mergeCell ref="AH12:AI12"/>
    <mergeCell ref="Z12:AA12"/>
    <mergeCell ref="N10:P10"/>
    <mergeCell ref="N12:O12"/>
  </mergeCell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Serviço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 Rocha</dc:creator>
  <cp:lastModifiedBy>Joyce Rocha</cp:lastModifiedBy>
  <dcterms:created xsi:type="dcterms:W3CDTF">2015-06-05T18:19:34Z</dcterms:created>
  <dcterms:modified xsi:type="dcterms:W3CDTF">2025-11-15T14:20:17Z</dcterms:modified>
</cp:coreProperties>
</file>